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\Desktop\Estatistica_Computacional_POLI_UPE\"/>
    </mc:Choice>
  </mc:AlternateContent>
  <xr:revisionPtr revIDLastSave="0" documentId="13_ncr:1_{6C017205-9766-46ED-96ED-8A1F35E31831}" xr6:coauthVersionLast="47" xr6:coauthVersionMax="47" xr10:uidLastSave="{00000000-0000-0000-0000-000000000000}"/>
  <bookViews>
    <workbookView xWindow="-108" yWindow="-108" windowWidth="23256" windowHeight="12576" tabRatio="681" firstSheet="3" activeTab="13" xr2:uid="{00000000-000D-0000-FFFF-FFFF00000000}"/>
  </bookViews>
  <sheets>
    <sheet name="quebra_bombas" sheetId="7" r:id="rId1"/>
    <sheet name="bomba_petrolifera" sheetId="13" r:id="rId2"/>
    <sheet name="lampadas" sheetId="20" r:id="rId3"/>
    <sheet name="dist_frequencia" sheetId="8" r:id="rId4"/>
    <sheet name="Planilha5" sheetId="29" r:id="rId5"/>
    <sheet name="Planilha6" sheetId="30" r:id="rId6"/>
    <sheet name="vinho" sheetId="17" r:id="rId7"/>
    <sheet name="vazoes" sheetId="19" r:id="rId8"/>
    <sheet name="itaparica_sobradinho" sheetId="26" r:id="rId9"/>
    <sheet name="vento" sheetId="24" r:id="rId10"/>
    <sheet name="Planilha1" sheetId="25" r:id="rId11"/>
    <sheet name="peso" sheetId="23" r:id="rId12"/>
    <sheet name="BINOMIAL" sheetId="31" r:id="rId13"/>
    <sheet name="POISSON" sheetId="32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32" l="1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25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6" i="32"/>
  <c r="B2" i="31"/>
  <c r="H6" i="32"/>
  <c r="D7" i="32"/>
  <c r="G7" i="32" s="1"/>
  <c r="E7" i="32"/>
  <c r="F7" i="32"/>
  <c r="D8" i="32"/>
  <c r="E8" i="32"/>
  <c r="F8" i="32"/>
  <c r="G8" i="32" s="1"/>
  <c r="D9" i="32"/>
  <c r="E9" i="32"/>
  <c r="F9" i="32"/>
  <c r="G9" i="32"/>
  <c r="D10" i="32"/>
  <c r="G10" i="32" s="1"/>
  <c r="E10" i="32"/>
  <c r="F10" i="32"/>
  <c r="D11" i="32"/>
  <c r="E11" i="32"/>
  <c r="F11" i="32"/>
  <c r="G11" i="32"/>
  <c r="D12" i="32"/>
  <c r="E12" i="32"/>
  <c r="F12" i="32"/>
  <c r="G12" i="32"/>
  <c r="D13" i="32"/>
  <c r="G13" i="32" s="1"/>
  <c r="E13" i="32"/>
  <c r="F13" i="32"/>
  <c r="D14" i="32"/>
  <c r="E14" i="32"/>
  <c r="F14" i="32"/>
  <c r="G14" i="32"/>
  <c r="D15" i="32"/>
  <c r="E15" i="32"/>
  <c r="F15" i="32"/>
  <c r="G15" i="32"/>
  <c r="D16" i="32"/>
  <c r="G16" i="32" s="1"/>
  <c r="E16" i="32"/>
  <c r="F16" i="32"/>
  <c r="D17" i="32"/>
  <c r="E17" i="32"/>
  <c r="F17" i="32"/>
  <c r="G17" i="32"/>
  <c r="D18" i="32"/>
  <c r="E18" i="32"/>
  <c r="F18" i="32"/>
  <c r="G18" i="32"/>
  <c r="D19" i="32"/>
  <c r="G19" i="32" s="1"/>
  <c r="E19" i="32"/>
  <c r="F19" i="32"/>
  <c r="D20" i="32"/>
  <c r="E20" i="32"/>
  <c r="F20" i="32"/>
  <c r="G20" i="32"/>
  <c r="D21" i="32"/>
  <c r="E21" i="32"/>
  <c r="F21" i="32"/>
  <c r="G21" i="32"/>
  <c r="G6" i="32"/>
  <c r="F6" i="32"/>
  <c r="E6" i="32"/>
  <c r="D6" i="32"/>
  <c r="D16" i="31"/>
  <c r="E16" i="31"/>
  <c r="F16" i="31"/>
  <c r="D17" i="31"/>
  <c r="G17" i="31" s="1"/>
  <c r="E17" i="31"/>
  <c r="F17" i="31"/>
  <c r="D18" i="31"/>
  <c r="E18" i="31"/>
  <c r="F18" i="31"/>
  <c r="D19" i="31"/>
  <c r="E19" i="31"/>
  <c r="F19" i="31"/>
  <c r="D20" i="31"/>
  <c r="G20" i="31" s="1"/>
  <c r="E20" i="31"/>
  <c r="F20" i="31"/>
  <c r="F15" i="31"/>
  <c r="E15" i="31"/>
  <c r="B16" i="31"/>
  <c r="B17" i="31"/>
  <c r="B18" i="31"/>
  <c r="B19" i="31"/>
  <c r="B20" i="31"/>
  <c r="B15" i="31"/>
  <c r="G19" i="31"/>
  <c r="G18" i="31"/>
  <c r="G16" i="31"/>
  <c r="D15" i="31"/>
  <c r="D7" i="31"/>
  <c r="E7" i="31"/>
  <c r="F7" i="31"/>
  <c r="G7" i="31" s="1"/>
  <c r="D8" i="31"/>
  <c r="E8" i="31"/>
  <c r="F8" i="31"/>
  <c r="G8" i="31"/>
  <c r="D9" i="31"/>
  <c r="E9" i="31"/>
  <c r="G9" i="31" s="1"/>
  <c r="F9" i="31"/>
  <c r="D10" i="31"/>
  <c r="E10" i="31"/>
  <c r="F10" i="31"/>
  <c r="G10" i="31"/>
  <c r="D11" i="31"/>
  <c r="G11" i="31" s="1"/>
  <c r="E11" i="31"/>
  <c r="F11" i="31"/>
  <c r="G6" i="31"/>
  <c r="F6" i="31"/>
  <c r="E6" i="31"/>
  <c r="D6" i="31"/>
  <c r="B7" i="31"/>
  <c r="B8" i="31"/>
  <c r="B9" i="31"/>
  <c r="B10" i="31"/>
  <c r="B11" i="31"/>
  <c r="B6" i="31"/>
  <c r="A2" i="31"/>
  <c r="C25" i="8"/>
  <c r="D25" i="8"/>
  <c r="E25" i="8"/>
  <c r="F25" i="8"/>
  <c r="G25" i="8"/>
  <c r="H25" i="8"/>
  <c r="I25" i="8"/>
  <c r="J25" i="8"/>
  <c r="K25" i="8"/>
  <c r="B25" i="8"/>
  <c r="C22" i="8"/>
  <c r="D22" i="8"/>
  <c r="E22" i="8"/>
  <c r="F22" i="8"/>
  <c r="G22" i="8"/>
  <c r="G24" i="8" s="1"/>
  <c r="H22" i="8"/>
  <c r="I22" i="8"/>
  <c r="J22" i="8"/>
  <c r="K22" i="8"/>
  <c r="C23" i="8"/>
  <c r="C24" i="8" s="1"/>
  <c r="D23" i="8"/>
  <c r="D24" i="8" s="1"/>
  <c r="E23" i="8"/>
  <c r="E24" i="8" s="1"/>
  <c r="F23" i="8"/>
  <c r="G23" i="8"/>
  <c r="H23" i="8"/>
  <c r="I23" i="8"/>
  <c r="I24" i="8" s="1"/>
  <c r="J23" i="8"/>
  <c r="J24" i="8" s="1"/>
  <c r="K23" i="8"/>
  <c r="F24" i="8"/>
  <c r="H24" i="8"/>
  <c r="K24" i="8"/>
  <c r="B24" i="8"/>
  <c r="B23" i="8"/>
  <c r="B22" i="8"/>
  <c r="U4" i="17"/>
  <c r="V4" i="17" s="1"/>
  <c r="U5" i="17"/>
  <c r="V5" i="17" s="1"/>
  <c r="U6" i="17"/>
  <c r="V6" i="17" s="1"/>
  <c r="U7" i="17"/>
  <c r="V7" i="17" s="1"/>
  <c r="U8" i="17"/>
  <c r="V8" i="17" s="1"/>
  <c r="U9" i="17"/>
  <c r="V9" i="17"/>
  <c r="U10" i="17"/>
  <c r="V10" i="17"/>
  <c r="U11" i="17"/>
  <c r="V11" i="17"/>
  <c r="U12" i="17"/>
  <c r="V12" i="17"/>
  <c r="U13" i="17"/>
  <c r="V13" i="17" s="1"/>
  <c r="U14" i="17"/>
  <c r="V14" i="17"/>
  <c r="U15" i="17"/>
  <c r="V15" i="17"/>
  <c r="U16" i="17"/>
  <c r="V16" i="17" s="1"/>
  <c r="U17" i="17"/>
  <c r="V17" i="17" s="1"/>
  <c r="U18" i="17"/>
  <c r="V18" i="17"/>
  <c r="U19" i="17"/>
  <c r="V19" i="17" s="1"/>
  <c r="U20" i="17"/>
  <c r="V20" i="17" s="1"/>
  <c r="U21" i="17"/>
  <c r="V21" i="17" s="1"/>
  <c r="U22" i="17"/>
  <c r="V22" i="17"/>
  <c r="U23" i="17"/>
  <c r="V23" i="17"/>
  <c r="U24" i="17"/>
  <c r="V24" i="17"/>
  <c r="U25" i="17"/>
  <c r="V25" i="17" s="1"/>
  <c r="U26" i="17"/>
  <c r="V26" i="17"/>
  <c r="U27" i="17"/>
  <c r="V27" i="17"/>
  <c r="U28" i="17"/>
  <c r="V28" i="17"/>
  <c r="U29" i="17"/>
  <c r="V29" i="17" s="1"/>
  <c r="U30" i="17"/>
  <c r="V30" i="17"/>
  <c r="U31" i="17"/>
  <c r="V31" i="17" s="1"/>
  <c r="U32" i="17"/>
  <c r="V32" i="17"/>
  <c r="U33" i="17"/>
  <c r="V33" i="17" s="1"/>
  <c r="U34" i="17"/>
  <c r="V34" i="17" s="1"/>
  <c r="U35" i="17"/>
  <c r="V35" i="17"/>
  <c r="U36" i="17"/>
  <c r="V36" i="17"/>
  <c r="U37" i="17"/>
  <c r="V37" i="17" s="1"/>
  <c r="U38" i="17"/>
  <c r="V38" i="17"/>
  <c r="U39" i="17"/>
  <c r="V39" i="17"/>
  <c r="U40" i="17"/>
  <c r="V40" i="17"/>
  <c r="U3" i="17"/>
  <c r="V3" i="17" s="1"/>
  <c r="G15" i="31" l="1"/>
  <c r="V41" i="17"/>
  <c r="Q4" i="17" l="1"/>
  <c r="R4" i="17" s="1"/>
  <c r="S4" i="17"/>
  <c r="T4" i="17" s="1"/>
  <c r="Q5" i="17"/>
  <c r="R5" i="17" s="1"/>
  <c r="S5" i="17"/>
  <c r="T5" i="17" s="1"/>
  <c r="Q6" i="17"/>
  <c r="R6" i="17" s="1"/>
  <c r="S6" i="17"/>
  <c r="T6" i="17" s="1"/>
  <c r="Q7" i="17"/>
  <c r="R7" i="17" s="1"/>
  <c r="S7" i="17"/>
  <c r="T7" i="17" s="1"/>
  <c r="Q8" i="17"/>
  <c r="R8" i="17" s="1"/>
  <c r="S8" i="17"/>
  <c r="T8" i="17" s="1"/>
  <c r="Q9" i="17"/>
  <c r="R9" i="17" s="1"/>
  <c r="S9" i="17"/>
  <c r="T9" i="17" s="1"/>
  <c r="Q10" i="17"/>
  <c r="R10" i="17" s="1"/>
  <c r="S10" i="17"/>
  <c r="T10" i="17" s="1"/>
  <c r="Q11" i="17"/>
  <c r="R11" i="17" s="1"/>
  <c r="S11" i="17"/>
  <c r="T11" i="17" s="1"/>
  <c r="Q12" i="17"/>
  <c r="R12" i="17" s="1"/>
  <c r="S12" i="17"/>
  <c r="T12" i="17" s="1"/>
  <c r="Q13" i="17"/>
  <c r="R13" i="17" s="1"/>
  <c r="S13" i="17"/>
  <c r="T13" i="17" s="1"/>
  <c r="Q14" i="17"/>
  <c r="R14" i="17" s="1"/>
  <c r="S14" i="17"/>
  <c r="T14" i="17" s="1"/>
  <c r="Q15" i="17"/>
  <c r="R15" i="17" s="1"/>
  <c r="S15" i="17"/>
  <c r="T15" i="17" s="1"/>
  <c r="Q16" i="17"/>
  <c r="R16" i="17" s="1"/>
  <c r="S16" i="17"/>
  <c r="T16" i="17" s="1"/>
  <c r="Q17" i="17"/>
  <c r="R17" i="17" s="1"/>
  <c r="S17" i="17"/>
  <c r="T17" i="17" s="1"/>
  <c r="Q18" i="17"/>
  <c r="R18" i="17" s="1"/>
  <c r="S18" i="17"/>
  <c r="T18" i="17" s="1"/>
  <c r="Q19" i="17"/>
  <c r="R19" i="17" s="1"/>
  <c r="S19" i="17"/>
  <c r="T19" i="17" s="1"/>
  <c r="Q20" i="17"/>
  <c r="R20" i="17" s="1"/>
  <c r="S20" i="17"/>
  <c r="T20" i="17" s="1"/>
  <c r="Q21" i="17"/>
  <c r="R21" i="17"/>
  <c r="S21" i="17"/>
  <c r="T21" i="17" s="1"/>
  <c r="Q22" i="17"/>
  <c r="R22" i="17" s="1"/>
  <c r="S22" i="17"/>
  <c r="T22" i="17" s="1"/>
  <c r="Q23" i="17"/>
  <c r="R23" i="17" s="1"/>
  <c r="S23" i="17"/>
  <c r="T23" i="17" s="1"/>
  <c r="Q24" i="17"/>
  <c r="R24" i="17"/>
  <c r="S24" i="17"/>
  <c r="T24" i="17" s="1"/>
  <c r="Q25" i="17"/>
  <c r="R25" i="17" s="1"/>
  <c r="S25" i="17"/>
  <c r="T25" i="17" s="1"/>
  <c r="Q26" i="17"/>
  <c r="R26" i="17" s="1"/>
  <c r="S26" i="17"/>
  <c r="T26" i="17" s="1"/>
  <c r="Q27" i="17"/>
  <c r="R27" i="17" s="1"/>
  <c r="S27" i="17"/>
  <c r="T27" i="17"/>
  <c r="Q28" i="17"/>
  <c r="R28" i="17" s="1"/>
  <c r="S28" i="17"/>
  <c r="T28" i="17" s="1"/>
  <c r="Q29" i="17"/>
  <c r="R29" i="17" s="1"/>
  <c r="S29" i="17"/>
  <c r="T29" i="17" s="1"/>
  <c r="Q30" i="17"/>
  <c r="R30" i="17" s="1"/>
  <c r="S30" i="17"/>
  <c r="T30" i="17" s="1"/>
  <c r="Q31" i="17"/>
  <c r="R31" i="17" s="1"/>
  <c r="S31" i="17"/>
  <c r="T31" i="17" s="1"/>
  <c r="Q32" i="17"/>
  <c r="R32" i="17" s="1"/>
  <c r="S32" i="17"/>
  <c r="T32" i="17" s="1"/>
  <c r="Q33" i="17"/>
  <c r="R33" i="17" s="1"/>
  <c r="S33" i="17"/>
  <c r="T33" i="17"/>
  <c r="Q34" i="17"/>
  <c r="R34" i="17" s="1"/>
  <c r="S34" i="17"/>
  <c r="T34" i="17" s="1"/>
  <c r="Q35" i="17"/>
  <c r="R35" i="17" s="1"/>
  <c r="S35" i="17"/>
  <c r="T35" i="17" s="1"/>
  <c r="Q36" i="17"/>
  <c r="R36" i="17" s="1"/>
  <c r="S36" i="17"/>
  <c r="T36" i="17"/>
  <c r="Q37" i="17"/>
  <c r="R37" i="17" s="1"/>
  <c r="S37" i="17"/>
  <c r="T37" i="17" s="1"/>
  <c r="Q38" i="17"/>
  <c r="R38" i="17" s="1"/>
  <c r="S38" i="17"/>
  <c r="T38" i="17" s="1"/>
  <c r="Q39" i="17"/>
  <c r="R39" i="17" s="1"/>
  <c r="S39" i="17"/>
  <c r="T39" i="17" s="1"/>
  <c r="Q40" i="17"/>
  <c r="R40" i="17" s="1"/>
  <c r="S40" i="17"/>
  <c r="T40" i="17" s="1"/>
  <c r="S3" i="17"/>
  <c r="T3" i="17" s="1"/>
  <c r="Q3" i="17"/>
  <c r="R3" i="17" s="1"/>
  <c r="O4" i="17"/>
  <c r="P4" i="17" s="1"/>
  <c r="O5" i="17"/>
  <c r="P5" i="17" s="1"/>
  <c r="O6" i="17"/>
  <c r="P6" i="17" s="1"/>
  <c r="O7" i="17"/>
  <c r="P7" i="17" s="1"/>
  <c r="O8" i="17"/>
  <c r="P8" i="17" s="1"/>
  <c r="O9" i="17"/>
  <c r="P9" i="17" s="1"/>
  <c r="O10" i="17"/>
  <c r="P10" i="17" s="1"/>
  <c r="O11" i="17"/>
  <c r="P11" i="17" s="1"/>
  <c r="O12" i="17"/>
  <c r="P12" i="17" s="1"/>
  <c r="O13" i="17"/>
  <c r="P13" i="17" s="1"/>
  <c r="O14" i="17"/>
  <c r="P14" i="17" s="1"/>
  <c r="O15" i="17"/>
  <c r="P15" i="17" s="1"/>
  <c r="O16" i="17"/>
  <c r="P16" i="17" s="1"/>
  <c r="O17" i="17"/>
  <c r="P17" i="17" s="1"/>
  <c r="O18" i="17"/>
  <c r="P18" i="17" s="1"/>
  <c r="O19" i="17"/>
  <c r="O20" i="17"/>
  <c r="P20" i="17" s="1"/>
  <c r="O21" i="17"/>
  <c r="P21" i="17" s="1"/>
  <c r="O22" i="17"/>
  <c r="P22" i="17" s="1"/>
  <c r="O23" i="17"/>
  <c r="P23" i="17" s="1"/>
  <c r="O24" i="17"/>
  <c r="P24" i="17" s="1"/>
  <c r="O25" i="17"/>
  <c r="P25" i="17" s="1"/>
  <c r="O26" i="17"/>
  <c r="P26" i="17" s="1"/>
  <c r="O27" i="17"/>
  <c r="P27" i="17" s="1"/>
  <c r="O28" i="17"/>
  <c r="P28" i="17" s="1"/>
  <c r="O29" i="17"/>
  <c r="P29" i="17" s="1"/>
  <c r="O30" i="17"/>
  <c r="P30" i="17" s="1"/>
  <c r="O31" i="17"/>
  <c r="P31" i="17" s="1"/>
  <c r="O32" i="17"/>
  <c r="P32" i="17" s="1"/>
  <c r="O33" i="17"/>
  <c r="P33" i="17" s="1"/>
  <c r="O34" i="17"/>
  <c r="P34" i="17" s="1"/>
  <c r="O35" i="17"/>
  <c r="O36" i="17"/>
  <c r="P36" i="17" s="1"/>
  <c r="O37" i="17"/>
  <c r="O38" i="17"/>
  <c r="P38" i="17" s="1"/>
  <c r="O39" i="17"/>
  <c r="P39" i="17" s="1"/>
  <c r="O40" i="17"/>
  <c r="P40" i="17" s="1"/>
  <c r="O3" i="17"/>
  <c r="P3" i="17" s="1"/>
  <c r="P19" i="17"/>
  <c r="P35" i="17"/>
  <c r="P37" i="17"/>
  <c r="M5" i="17"/>
  <c r="N5" i="17" s="1"/>
  <c r="M6" i="17"/>
  <c r="N6" i="17" s="1"/>
  <c r="M7" i="17"/>
  <c r="N7" i="17" s="1"/>
  <c r="M8" i="17"/>
  <c r="N8" i="17"/>
  <c r="M9" i="17"/>
  <c r="N9" i="17"/>
  <c r="M10" i="17"/>
  <c r="N10" i="17" s="1"/>
  <c r="M11" i="17"/>
  <c r="N11" i="17" s="1"/>
  <c r="M12" i="17"/>
  <c r="N12" i="17" s="1"/>
  <c r="M13" i="17"/>
  <c r="N13" i="17" s="1"/>
  <c r="M14" i="17"/>
  <c r="N14" i="17" s="1"/>
  <c r="M15" i="17"/>
  <c r="N15" i="17" s="1"/>
  <c r="M16" i="17"/>
  <c r="N16" i="17" s="1"/>
  <c r="M17" i="17"/>
  <c r="N17" i="17" s="1"/>
  <c r="M18" i="17"/>
  <c r="N18" i="17" s="1"/>
  <c r="M19" i="17"/>
  <c r="N19" i="17" s="1"/>
  <c r="M20" i="17"/>
  <c r="N20" i="17"/>
  <c r="M21" i="17"/>
  <c r="N21" i="17"/>
  <c r="M22" i="17"/>
  <c r="N22" i="17" s="1"/>
  <c r="M23" i="17"/>
  <c r="N23" i="17" s="1"/>
  <c r="M24" i="17"/>
  <c r="N24" i="17" s="1"/>
  <c r="M25" i="17"/>
  <c r="N25" i="17" s="1"/>
  <c r="M26" i="17"/>
  <c r="N26" i="17"/>
  <c r="M27" i="17"/>
  <c r="N27" i="17"/>
  <c r="M28" i="17"/>
  <c r="N28" i="17" s="1"/>
  <c r="M29" i="17"/>
  <c r="N29" i="17" s="1"/>
  <c r="M30" i="17"/>
  <c r="N30" i="17" s="1"/>
  <c r="M31" i="17"/>
  <c r="N31" i="17" s="1"/>
  <c r="M32" i="17"/>
  <c r="N32" i="17" s="1"/>
  <c r="M33" i="17"/>
  <c r="N33" i="17"/>
  <c r="M34" i="17"/>
  <c r="N34" i="17" s="1"/>
  <c r="M35" i="17"/>
  <c r="N35" i="17" s="1"/>
  <c r="M36" i="17"/>
  <c r="N36" i="17" s="1"/>
  <c r="M37" i="17"/>
  <c r="N37" i="17" s="1"/>
  <c r="M38" i="17"/>
  <c r="N38" i="17"/>
  <c r="M39" i="17"/>
  <c r="N39" i="17"/>
  <c r="M40" i="17"/>
  <c r="N40" i="17" s="1"/>
  <c r="M4" i="17"/>
  <c r="N4" i="17" s="1"/>
  <c r="M3" i="17"/>
  <c r="N3" i="17" s="1"/>
  <c r="C43" i="17"/>
  <c r="D43" i="17"/>
  <c r="E43" i="17"/>
  <c r="F43" i="17"/>
  <c r="B43" i="17"/>
  <c r="G50" i="17"/>
  <c r="G42" i="17"/>
  <c r="F42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H14" i="17"/>
  <c r="I14" i="17"/>
  <c r="J14" i="17"/>
  <c r="H15" i="17"/>
  <c r="I15" i="17"/>
  <c r="J15" i="17"/>
  <c r="H16" i="17"/>
  <c r="I16" i="17"/>
  <c r="J16" i="17"/>
  <c r="H17" i="17"/>
  <c r="I17" i="17"/>
  <c r="J17" i="17"/>
  <c r="H18" i="17"/>
  <c r="I18" i="17"/>
  <c r="J18" i="17"/>
  <c r="H19" i="17"/>
  <c r="I19" i="17"/>
  <c r="J19" i="17"/>
  <c r="H20" i="17"/>
  <c r="I20" i="17"/>
  <c r="J20" i="17"/>
  <c r="H21" i="17"/>
  <c r="I21" i="17"/>
  <c r="J21" i="17"/>
  <c r="H22" i="17"/>
  <c r="I22" i="17"/>
  <c r="J22" i="17"/>
  <c r="H23" i="17"/>
  <c r="I23" i="17"/>
  <c r="J23" i="17"/>
  <c r="H24" i="17"/>
  <c r="I24" i="17"/>
  <c r="J24" i="17"/>
  <c r="H25" i="17"/>
  <c r="I25" i="17"/>
  <c r="J25" i="17"/>
  <c r="H26" i="17"/>
  <c r="I26" i="17"/>
  <c r="J26" i="17"/>
  <c r="H27" i="17"/>
  <c r="I27" i="17"/>
  <c r="J27" i="17"/>
  <c r="H28" i="17"/>
  <c r="I28" i="17"/>
  <c r="J28" i="17"/>
  <c r="H29" i="17"/>
  <c r="I29" i="17"/>
  <c r="J29" i="17"/>
  <c r="H30" i="17"/>
  <c r="I30" i="17"/>
  <c r="J30" i="17"/>
  <c r="H31" i="17"/>
  <c r="I31" i="17"/>
  <c r="J31" i="17"/>
  <c r="H32" i="17"/>
  <c r="I32" i="17"/>
  <c r="J32" i="17"/>
  <c r="H33" i="17"/>
  <c r="I33" i="17"/>
  <c r="J33" i="17"/>
  <c r="H34" i="17"/>
  <c r="I34" i="17"/>
  <c r="J34" i="17"/>
  <c r="H35" i="17"/>
  <c r="I35" i="17"/>
  <c r="J35" i="17"/>
  <c r="H36" i="17"/>
  <c r="I36" i="17"/>
  <c r="J36" i="17"/>
  <c r="H37" i="17"/>
  <c r="I37" i="17"/>
  <c r="J37" i="17"/>
  <c r="H38" i="17"/>
  <c r="I38" i="17"/>
  <c r="J38" i="17"/>
  <c r="H39" i="17"/>
  <c r="I39" i="17"/>
  <c r="J39" i="17"/>
  <c r="H40" i="17"/>
  <c r="I40" i="17"/>
  <c r="J40" i="17"/>
  <c r="J3" i="17"/>
  <c r="I3" i="17"/>
  <c r="H3" i="17"/>
  <c r="H42" i="17" l="1"/>
  <c r="F46" i="17" s="1"/>
  <c r="I42" i="17"/>
  <c r="F47" i="17" s="1"/>
  <c r="G47" i="17" s="1"/>
  <c r="J42" i="17"/>
  <c r="F48" i="17" s="1"/>
  <c r="G48" i="17" s="1"/>
  <c r="N41" i="17"/>
  <c r="R41" i="17"/>
  <c r="T41" i="17"/>
  <c r="P41" i="17"/>
  <c r="G49" i="17" l="1"/>
  <c r="G51" i="17" s="1"/>
  <c r="G52" i="17" s="1"/>
  <c r="K10" i="17" s="1"/>
  <c r="L10" i="17" s="1"/>
  <c r="K30" i="17" l="1"/>
  <c r="L30" i="17" s="1"/>
  <c r="K9" i="17"/>
  <c r="L9" i="17" s="1"/>
  <c r="K7" i="17"/>
  <c r="L7" i="17" s="1"/>
  <c r="K29" i="17"/>
  <c r="L29" i="17" s="1"/>
  <c r="K11" i="17"/>
  <c r="L11" i="17" s="1"/>
  <c r="K33" i="17"/>
  <c r="L33" i="17" s="1"/>
  <c r="K17" i="17"/>
  <c r="L17" i="17" s="1"/>
  <c r="K19" i="17"/>
  <c r="L19" i="17" s="1"/>
  <c r="K21" i="17"/>
  <c r="L21" i="17" s="1"/>
  <c r="K22" i="17"/>
  <c r="L22" i="17" s="1"/>
  <c r="K25" i="17"/>
  <c r="L25" i="17" s="1"/>
  <c r="K32" i="17"/>
  <c r="L32" i="17" s="1"/>
  <c r="K34" i="17"/>
  <c r="L34" i="17" s="1"/>
  <c r="K13" i="17"/>
  <c r="L13" i="17" s="1"/>
  <c r="K28" i="17"/>
  <c r="L28" i="17" s="1"/>
  <c r="K35" i="17"/>
  <c r="L35" i="17" s="1"/>
  <c r="K14" i="17"/>
  <c r="L14" i="17" s="1"/>
  <c r="K6" i="17"/>
  <c r="L6" i="17" s="1"/>
  <c r="K16" i="17"/>
  <c r="L16" i="17" s="1"/>
  <c r="K39" i="17"/>
  <c r="L39" i="17" s="1"/>
  <c r="K23" i="17"/>
  <c r="L23" i="17" s="1"/>
  <c r="K40" i="17"/>
  <c r="L40" i="17" s="1"/>
  <c r="K12" i="17"/>
  <c r="L12" i="17" s="1"/>
  <c r="K20" i="17"/>
  <c r="L20" i="17" s="1"/>
  <c r="K15" i="17"/>
  <c r="L15" i="17" s="1"/>
  <c r="K5" i="17"/>
  <c r="L5" i="17" s="1"/>
  <c r="K4" i="17"/>
  <c r="L4" i="17" s="1"/>
  <c r="K36" i="17"/>
  <c r="L36" i="17" s="1"/>
  <c r="K3" i="17"/>
  <c r="L3" i="17" s="1"/>
  <c r="K8" i="17"/>
  <c r="L8" i="17" s="1"/>
  <c r="K24" i="17"/>
  <c r="L24" i="17" s="1"/>
  <c r="K18" i="17"/>
  <c r="L18" i="17" s="1"/>
  <c r="K31" i="17"/>
  <c r="L31" i="17" s="1"/>
  <c r="K38" i="17"/>
  <c r="L38" i="17" s="1"/>
  <c r="K37" i="17"/>
  <c r="L37" i="17" s="1"/>
  <c r="K26" i="17"/>
  <c r="L26" i="17" s="1"/>
  <c r="K27" i="17"/>
  <c r="L27" i="17" s="1"/>
  <c r="L41" i="17" l="1"/>
</calcChain>
</file>

<file path=xl/sharedStrings.xml><?xml version="1.0" encoding="utf-8"?>
<sst xmlns="http://schemas.openxmlformats.org/spreadsheetml/2006/main" count="334" uniqueCount="229">
  <si>
    <t>Falha</t>
  </si>
  <si>
    <t>Tempo</t>
  </si>
  <si>
    <t>falha</t>
  </si>
  <si>
    <t xml:space="preserve">tempo </t>
  </si>
  <si>
    <t>X1</t>
  </si>
  <si>
    <t>X2</t>
  </si>
  <si>
    <t>X3</t>
  </si>
  <si>
    <t>X4</t>
  </si>
  <si>
    <t>Y</t>
  </si>
  <si>
    <t>Vinho</t>
  </si>
  <si>
    <t>Claridade</t>
  </si>
  <si>
    <t>Aroma</t>
  </si>
  <si>
    <t>Corpo</t>
  </si>
  <si>
    <t>Sabor</t>
  </si>
  <si>
    <t>Afinação</t>
  </si>
  <si>
    <t>Qualidade</t>
  </si>
  <si>
    <t>Máquina 1</t>
  </si>
  <si>
    <t>Máquina 2</t>
  </si>
  <si>
    <t>Máquina 3</t>
  </si>
  <si>
    <t>Máquina 4</t>
  </si>
  <si>
    <t>Máquina 5</t>
  </si>
  <si>
    <t>Máquina 6</t>
  </si>
  <si>
    <t>Máquina 7</t>
  </si>
  <si>
    <t>Máquina 8</t>
  </si>
  <si>
    <t>Máquina 9</t>
  </si>
  <si>
    <t>Máquina 10</t>
  </si>
  <si>
    <t>Padrão</t>
  </si>
  <si>
    <t>XY</t>
  </si>
  <si>
    <t>Y2</t>
  </si>
  <si>
    <t>COV</t>
  </si>
  <si>
    <t>Sx</t>
  </si>
  <si>
    <t>Sy</t>
  </si>
  <si>
    <t>COR</t>
  </si>
  <si>
    <t>SABOR</t>
  </si>
  <si>
    <t>B</t>
  </si>
  <si>
    <t>A</t>
  </si>
  <si>
    <t>X5</t>
  </si>
  <si>
    <t>SOBRADINHO</t>
  </si>
  <si>
    <t>TUCURUI</t>
  </si>
  <si>
    <t>ITUMBIARA</t>
  </si>
  <si>
    <t>FURNAS</t>
  </si>
  <si>
    <t>ILHA SOLTEIRA</t>
  </si>
  <si>
    <t>AGUA VERMELHA</t>
  </si>
  <si>
    <t>SALTO SANTIAGO</t>
  </si>
  <si>
    <t>ITAIPU</t>
  </si>
  <si>
    <t>CORUMBA</t>
  </si>
  <si>
    <t>BALBINA</t>
  </si>
  <si>
    <t>BOA ESPERANÇA</t>
  </si>
  <si>
    <t>SERRA DA MESA</t>
  </si>
  <si>
    <t>SAMUEL</t>
  </si>
  <si>
    <t>BARRA GRANDE</t>
  </si>
  <si>
    <t>MARIMBONDO</t>
  </si>
  <si>
    <t>SANTO ANTONIO</t>
  </si>
  <si>
    <t>JUPIÁ</t>
  </si>
  <si>
    <t>PORTO PRIMAVERA</t>
  </si>
  <si>
    <t>SÃO SIMÃO</t>
  </si>
  <si>
    <t>JIRAU</t>
  </si>
  <si>
    <t>C. DOURADA</t>
  </si>
  <si>
    <t>SEGREDO</t>
  </si>
  <si>
    <t>DIAS</t>
  </si>
  <si>
    <t>tempo</t>
  </si>
  <si>
    <t>ITAPARICA</t>
  </si>
  <si>
    <t>MOXOTO</t>
  </si>
  <si>
    <t>P. AFONSO 4</t>
  </si>
  <si>
    <t>EMBORCAÇÃO</t>
  </si>
  <si>
    <t>LAJEADO</t>
  </si>
  <si>
    <t>ESTREITO</t>
  </si>
  <si>
    <t>PORTO COLOMBIA</t>
  </si>
  <si>
    <t>VOLTA GRANDE</t>
  </si>
  <si>
    <t>ITÁ</t>
  </si>
  <si>
    <t>CAMPOS NOVOS</t>
  </si>
  <si>
    <t>MACHADINHO</t>
  </si>
  <si>
    <t>FOZ CHAPECO</t>
  </si>
  <si>
    <t>G. B. MUNHOZ (FOZ DO AREIA)</t>
  </si>
  <si>
    <t>SALTO CAXIAS</t>
  </si>
  <si>
    <t>SALTO OSORIO</t>
  </si>
  <si>
    <t>NOME</t>
  </si>
  <si>
    <t xml:space="preserve">DOCE </t>
  </si>
  <si>
    <t>SEXO</t>
  </si>
  <si>
    <t>EXERCICIO</t>
  </si>
  <si>
    <t>PESO</t>
  </si>
  <si>
    <t>38.5</t>
  </si>
  <si>
    <t>M</t>
  </si>
  <si>
    <t>leve</t>
  </si>
  <si>
    <t>75.1</t>
  </si>
  <si>
    <t>38.6</t>
  </si>
  <si>
    <t>intenso</t>
  </si>
  <si>
    <t>28.5</t>
  </si>
  <si>
    <t>nenhum</t>
  </si>
  <si>
    <t>79.1</t>
  </si>
  <si>
    <t>34.8</t>
  </si>
  <si>
    <t>moderado</t>
  </si>
  <si>
    <t>84.1</t>
  </si>
  <si>
    <t>33.0</t>
  </si>
  <si>
    <t>83.1</t>
  </si>
  <si>
    <t>30.1</t>
  </si>
  <si>
    <t>79.2</t>
  </si>
  <si>
    <t>22.5</t>
  </si>
  <si>
    <t>F</t>
  </si>
  <si>
    <t>69.2</t>
  </si>
  <si>
    <t>33.4</t>
  </si>
  <si>
    <t>80.3</t>
  </si>
  <si>
    <t>20.8</t>
  </si>
  <si>
    <t>18.7</t>
  </si>
  <si>
    <t>72.7</t>
  </si>
  <si>
    <t>39.4</t>
  </si>
  <si>
    <t>85.7</t>
  </si>
  <si>
    <t>21.7</t>
  </si>
  <si>
    <t>74.9</t>
  </si>
  <si>
    <t>31.5</t>
  </si>
  <si>
    <t>87.4</t>
  </si>
  <si>
    <t>17.4</t>
  </si>
  <si>
    <t>71.5</t>
  </si>
  <si>
    <t>30.7</t>
  </si>
  <si>
    <t>78.5</t>
  </si>
  <si>
    <t>35.9</t>
  </si>
  <si>
    <t>20.5</t>
  </si>
  <si>
    <t>59.1</t>
  </si>
  <si>
    <t>64.5</t>
  </si>
  <si>
    <t>64.4</t>
  </si>
  <si>
    <t>17.7</t>
  </si>
  <si>
    <t>70.5</t>
  </si>
  <si>
    <t>69.5</t>
  </si>
  <si>
    <t>35.8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</si>
  <si>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</si>
  <si>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</si>
  <si>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</si>
  <si>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</si>
  <si>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</si>
  <si>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</si>
  <si>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</si>
  <si>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</si>
  <si>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</si>
  <si>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</si>
  <si>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</si>
  <si>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</si>
  <si>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</si>
  <si>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</si>
  <si>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</si>
  <si>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</si>
  <si>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</si>
  <si>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</si>
  <si>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</si>
  <si>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dados</t>
  </si>
  <si>
    <t>ALUNOS</t>
  </si>
  <si>
    <t>CALC 1 (X)</t>
  </si>
  <si>
    <t>PROB (Y)</t>
  </si>
  <si>
    <t>VAZOES AFLUENTES DAS HIDRELETRICAS</t>
  </si>
  <si>
    <t>ITAPARICA (X)</t>
  </si>
  <si>
    <t>SOBRADINHO (y)</t>
  </si>
  <si>
    <t>Responder:</t>
  </si>
  <si>
    <t>a)</t>
  </si>
  <si>
    <t>o quadro de distribuição de frequência (usar fórmula de Sturges) de 1 das variáveis;</t>
  </si>
  <si>
    <t>b)</t>
  </si>
  <si>
    <t>a representação gráfica em histograma;</t>
  </si>
  <si>
    <t>c)</t>
  </si>
  <si>
    <t>a média aritmética normal e ponderada;</t>
  </si>
  <si>
    <t>d)</t>
  </si>
  <si>
    <t>a moda (usar fórmula de Czuber);</t>
  </si>
  <si>
    <t>e)</t>
  </si>
  <si>
    <t>a mediana;</t>
  </si>
  <si>
    <t>f)</t>
  </si>
  <si>
    <t>a média geométrica;</t>
  </si>
  <si>
    <t>g)</t>
  </si>
  <si>
    <t>a média harmônica;</t>
  </si>
  <si>
    <t>h)</t>
  </si>
  <si>
    <t>o primeiro e terceiro quartil (Q1 e Q3);</t>
  </si>
  <si>
    <t>i)</t>
  </si>
  <si>
    <t>o décimo e o nonagésimo percentil (P10 e P90);</t>
  </si>
  <si>
    <t>j)</t>
  </si>
  <si>
    <t>a variância agrupada e desagrupada;</t>
  </si>
  <si>
    <t>k)</t>
  </si>
  <si>
    <t>o desvio padrão agrupado e desagrupado;</t>
  </si>
  <si>
    <t>l)</t>
  </si>
  <si>
    <t>o coeficiente de variação agrupado e desagrupado, e a classificação;</t>
  </si>
  <si>
    <t>m)</t>
  </si>
  <si>
    <t>o coeficiente de assimetria (Segundo -Pearson) e classificação;</t>
  </si>
  <si>
    <t>n)</t>
  </si>
  <si>
    <t>o grau de curtose e classificação;</t>
  </si>
  <si>
    <t>o)</t>
  </si>
  <si>
    <t>o coeficiente de correlação linear entre as variáveis;</t>
  </si>
  <si>
    <t>p)</t>
  </si>
  <si>
    <t xml:space="preserve">obter a equação de regressão linear, exponencial, logarítmica, potência e polinomial (2a ordem) de Sobradinho (Y) em relaçao a Itaparica (X). </t>
  </si>
  <si>
    <t>q)</t>
  </si>
  <si>
    <t xml:space="preserve">apresentar a curva que apresentou melhor desempenho através do menor Erro Percentual Médio (EPM). </t>
  </si>
  <si>
    <t>ok</t>
  </si>
  <si>
    <t>SOMA</t>
  </si>
  <si>
    <t>Y_PREV</t>
  </si>
  <si>
    <t>LINEAR</t>
  </si>
  <si>
    <t>EPM</t>
  </si>
  <si>
    <t>POTENCIA</t>
  </si>
  <si>
    <t>POL(2)</t>
  </si>
  <si>
    <t>EXP</t>
  </si>
  <si>
    <t>LOG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</si>
  <si>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</si>
  <si>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</si>
  <si>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</si>
  <si>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</si>
  <si>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</si>
  <si>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</si>
  <si>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</si>
  <si>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</si>
  <si>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</si>
  <si>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</si>
  <si>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</si>
  <si>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</si>
  <si>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</si>
  <si>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</si>
  <si>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</si>
  <si>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</si>
  <si>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</si>
  <si>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</si>
  <si>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</si>
  <si>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</si>
  <si>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</si>
  <si>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</si>
  <si>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</si>
  <si>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MULTIPLA</t>
  </si>
  <si>
    <t>X</t>
  </si>
  <si>
    <t>DP</t>
  </si>
  <si>
    <t>cv</t>
  </si>
  <si>
    <t>BINOMIAL</t>
  </si>
  <si>
    <t>POISSON</t>
  </si>
  <si>
    <t>COMB</t>
  </si>
  <si>
    <t>SUC</t>
  </si>
  <si>
    <t>FRA</t>
  </si>
  <si>
    <t>TOTAL</t>
  </si>
  <si>
    <t>FORMULA</t>
  </si>
  <si>
    <t>P(X;LAMB;0)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</si>
</sst>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#,##0.0"/>
    <numFmt numFmtId="166" formatCode="0.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b/>
      <sz val="13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45">
    <xf numFmtId="0" fontId="0" fillId="0" borderId="0"/>
    <xf numFmtId="0" fontId="2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13" applyNumberFormat="0" applyAlignment="0" applyProtection="0"/>
    <xf numFmtId="0" fontId="16" fillId="13" borderId="14" applyNumberFormat="0" applyAlignment="0" applyProtection="0"/>
    <xf numFmtId="0" fontId="17" fillId="13" borderId="13" applyNumberFormat="0" applyAlignment="0" applyProtection="0"/>
    <xf numFmtId="0" fontId="18" fillId="0" borderId="15" applyNumberFormat="0" applyFill="0" applyAlignment="0" applyProtection="0"/>
    <xf numFmtId="0" fontId="19" fillId="14" borderId="16" applyNumberFormat="0" applyAlignment="0" applyProtection="0"/>
    <xf numFmtId="0" fontId="20" fillId="0" borderId="0" applyNumberFormat="0" applyFill="0" applyBorder="0" applyAlignment="0" applyProtection="0"/>
    <xf numFmtId="0" fontId="7" fillId="15" borderId="17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7" fillId="0" borderId="0" applyFont="0" applyFill="0" applyBorder="0" applyAlignment="0" applyProtection="0"/>
  </cellStyleXfs>
  <cellXfs count="84">
    <xf numFmtId="0" fontId="0" fillId="0" borderId="0" xfId="0"/>
    <xf numFmtId="0" fontId="3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 readingOrder="1"/>
    </xf>
    <xf numFmtId="0" fontId="6" fillId="6" borderId="7" xfId="0" applyFont="1" applyFill="1" applyBorder="1" applyAlignment="1">
      <alignment horizontal="center" vertical="center" wrapText="1" readingOrder="1"/>
    </xf>
    <xf numFmtId="0" fontId="0" fillId="2" borderId="0" xfId="0" applyFill="1"/>
    <xf numFmtId="0" fontId="1" fillId="2" borderId="1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0" xfId="0" applyFont="1" applyFill="1"/>
    <xf numFmtId="0" fontId="0" fillId="2" borderId="8" xfId="0" applyFill="1" applyBorder="1"/>
    <xf numFmtId="0" fontId="0" fillId="7" borderId="1" xfId="0" applyFill="1" applyBorder="1"/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14" fontId="0" fillId="0" borderId="0" xfId="0" applyNumberForma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" fontId="23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3" fontId="0" fillId="0" borderId="1" xfId="44" applyFont="1" applyBorder="1" applyAlignment="1">
      <alignment horizontal="center"/>
    </xf>
    <xf numFmtId="43" fontId="0" fillId="2" borderId="1" xfId="44" applyFont="1" applyFill="1" applyBorder="1" applyAlignment="1">
      <alignment horizontal="center"/>
    </xf>
    <xf numFmtId="0" fontId="25" fillId="0" borderId="0" xfId="0" applyFont="1"/>
    <xf numFmtId="0" fontId="26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27" fillId="0" borderId="1" xfId="0" applyNumberFormat="1" applyFont="1" applyBorder="1"/>
    <xf numFmtId="166" fontId="27" fillId="0" borderId="1" xfId="0" applyNumberFormat="1" applyFont="1" applyBorder="1"/>
    <xf numFmtId="10" fontId="0" fillId="0" borderId="1" xfId="0" applyNumberFormat="1" applyBorder="1" applyAlignment="1">
      <alignment horizontal="center"/>
    </xf>
    <xf numFmtId="0" fontId="25" fillId="0" borderId="1" xfId="0" applyFont="1" applyBorder="1"/>
    <xf numFmtId="0" fontId="2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20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0" borderId="1" xfId="0" applyNumberFormat="1" applyBorder="1"/>
    <xf numFmtId="10" fontId="0" fillId="0" borderId="0" xfId="0" applyNumberFormat="1"/>
    <xf numFmtId="0" fontId="0" fillId="40" borderId="0" xfId="0" applyFill="1"/>
    <xf numFmtId="0" fontId="0" fillId="40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8" fillId="0" borderId="0" xfId="0" applyFont="1" applyAlignment="1">
      <alignment horizontal="justify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64" fontId="0" fillId="0" borderId="1" xfId="2" applyNumberFormat="1" applyFont="1" applyBorder="1"/>
    <xf numFmtId="164" fontId="1" fillId="3" borderId="0" xfId="0" applyNumberFormat="1" applyFont="1" applyFill="1"/>
    <xf numFmtId="0" fontId="1" fillId="3" borderId="1" xfId="0" applyFont="1" applyFill="1" applyBorder="1" applyAlignment="1">
      <alignment horizontal="center"/>
    </xf>
    <xf numFmtId="166" fontId="0" fillId="0" borderId="1" xfId="0" applyNumberFormat="1" applyBorder="1"/>
    <xf numFmtId="10" fontId="0" fillId="0" borderId="1" xfId="2" applyNumberFormat="1" applyFont="1" applyBorder="1"/>
    <xf numFmtId="2" fontId="0" fillId="0" borderId="1" xfId="0" applyNumberFormat="1" applyBorder="1"/>
    <xf numFmtId="0" fontId="27" fillId="0" borderId="1" xfId="0" applyFont="1" applyBorder="1"/>
    <xf numFmtId="0" fontId="0" fillId="0" borderId="21" xfId="0" applyBorder="1"/>
    <xf numFmtId="0" fontId="29" fillId="0" borderId="22" xfId="0" applyFont="1" applyBorder="1" applyAlignment="1">
      <alignment horizontal="center"/>
    </xf>
    <xf numFmtId="0" fontId="29" fillId="0" borderId="22" xfId="0" applyFont="1" applyBorder="1" applyAlignment="1">
      <alignment horizontal="centerContinuous"/>
    </xf>
    <xf numFmtId="0" fontId="0" fillId="3" borderId="1" xfId="0" applyFill="1" applyBorder="1"/>
    <xf numFmtId="0" fontId="6" fillId="6" borderId="23" xfId="0" applyFont="1" applyFill="1" applyBorder="1" applyAlignment="1">
      <alignment horizontal="center" wrapText="1" readingOrder="1"/>
    </xf>
    <xf numFmtId="0" fontId="30" fillId="0" borderId="1" xfId="0" applyFont="1" applyBorder="1"/>
    <xf numFmtId="164" fontId="31" fillId="3" borderId="1" xfId="2" applyNumberFormat="1" applyFont="1" applyFill="1" applyBorder="1"/>
    <xf numFmtId="164" fontId="31" fillId="7" borderId="1" xfId="2" applyNumberFormat="1" applyFont="1" applyFill="1" applyBorder="1"/>
    <xf numFmtId="9" fontId="32" fillId="41" borderId="1" xfId="2" applyFont="1" applyFill="1" applyBorder="1"/>
    <xf numFmtId="9" fontId="32" fillId="7" borderId="1" xfId="2" applyFont="1" applyFill="1" applyBorder="1"/>
    <xf numFmtId="164" fontId="0" fillId="0" borderId="0" xfId="2" applyNumberFormat="1" applyFont="1"/>
    <xf numFmtId="10" fontId="0" fillId="0" borderId="0" xfId="2" applyNumberFormat="1" applyFont="1"/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rmal 2" xfId="1" xr:uid="{00000000-0005-0000-0000-000001000000}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9225306211723535"/>
                  <c:y val="1.3472222222222222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vinho!$F$3:$F$40</c:f>
              <c:numCache>
                <c:formatCode>General</c:formatCode>
                <c:ptCount val="38"/>
                <c:pt idx="0">
                  <c:v>3.1</c:v>
                </c:pt>
                <c:pt idx="1">
                  <c:v>3.5</c:v>
                </c:pt>
                <c:pt idx="2">
                  <c:v>4.8</c:v>
                </c:pt>
                <c:pt idx="3">
                  <c:v>3.1</c:v>
                </c:pt>
                <c:pt idx="4">
                  <c:v>5.5</c:v>
                </c:pt>
                <c:pt idx="5">
                  <c:v>5</c:v>
                </c:pt>
                <c:pt idx="6">
                  <c:v>4.8</c:v>
                </c:pt>
                <c:pt idx="7">
                  <c:v>4.3</c:v>
                </c:pt>
                <c:pt idx="8">
                  <c:v>3.9</c:v>
                </c:pt>
                <c:pt idx="9">
                  <c:v>4.7</c:v>
                </c:pt>
                <c:pt idx="10">
                  <c:v>4.5</c:v>
                </c:pt>
                <c:pt idx="11">
                  <c:v>4.3</c:v>
                </c:pt>
                <c:pt idx="12">
                  <c:v>7</c:v>
                </c:pt>
                <c:pt idx="13">
                  <c:v>6.7</c:v>
                </c:pt>
                <c:pt idx="14">
                  <c:v>5.8</c:v>
                </c:pt>
                <c:pt idx="15">
                  <c:v>5.6</c:v>
                </c:pt>
                <c:pt idx="16">
                  <c:v>4.8</c:v>
                </c:pt>
                <c:pt idx="17">
                  <c:v>5.5</c:v>
                </c:pt>
                <c:pt idx="18">
                  <c:v>4.3</c:v>
                </c:pt>
                <c:pt idx="19">
                  <c:v>3.4</c:v>
                </c:pt>
                <c:pt idx="20">
                  <c:v>6.6</c:v>
                </c:pt>
                <c:pt idx="21">
                  <c:v>5.3</c:v>
                </c:pt>
                <c:pt idx="22">
                  <c:v>5</c:v>
                </c:pt>
                <c:pt idx="23">
                  <c:v>4.0999999999999996</c:v>
                </c:pt>
                <c:pt idx="24">
                  <c:v>5.7</c:v>
                </c:pt>
                <c:pt idx="25">
                  <c:v>4.7</c:v>
                </c:pt>
                <c:pt idx="26">
                  <c:v>5.0999999999999996</c:v>
                </c:pt>
                <c:pt idx="27">
                  <c:v>5</c:v>
                </c:pt>
                <c:pt idx="28">
                  <c:v>5</c:v>
                </c:pt>
                <c:pt idx="29">
                  <c:v>2.9</c:v>
                </c:pt>
                <c:pt idx="30">
                  <c:v>5</c:v>
                </c:pt>
                <c:pt idx="31">
                  <c:v>3</c:v>
                </c:pt>
                <c:pt idx="32">
                  <c:v>4.3</c:v>
                </c:pt>
                <c:pt idx="33">
                  <c:v>6</c:v>
                </c:pt>
                <c:pt idx="34">
                  <c:v>5.5</c:v>
                </c:pt>
                <c:pt idx="35">
                  <c:v>4.2</c:v>
                </c:pt>
                <c:pt idx="36">
                  <c:v>3.5</c:v>
                </c:pt>
                <c:pt idx="37">
                  <c:v>5.7</c:v>
                </c:pt>
              </c:numCache>
            </c:numRef>
          </c:xVal>
          <c:yVal>
            <c:numRef>
              <c:f>vinho!$G$3:$G$40</c:f>
              <c:numCache>
                <c:formatCode>General</c:formatCode>
                <c:ptCount val="38"/>
                <c:pt idx="0">
                  <c:v>9.8000000000000007</c:v>
                </c:pt>
                <c:pt idx="1">
                  <c:v>12.6</c:v>
                </c:pt>
                <c:pt idx="2">
                  <c:v>11.9</c:v>
                </c:pt>
                <c:pt idx="3">
                  <c:v>11.1</c:v>
                </c:pt>
                <c:pt idx="4">
                  <c:v>13.3</c:v>
                </c:pt>
                <c:pt idx="5">
                  <c:v>12.8</c:v>
                </c:pt>
                <c:pt idx="6">
                  <c:v>12.8</c:v>
                </c:pt>
                <c:pt idx="7">
                  <c:v>12</c:v>
                </c:pt>
                <c:pt idx="8">
                  <c:v>13.6</c:v>
                </c:pt>
                <c:pt idx="9">
                  <c:v>13.9</c:v>
                </c:pt>
                <c:pt idx="10">
                  <c:v>14.4</c:v>
                </c:pt>
                <c:pt idx="11">
                  <c:v>12.3</c:v>
                </c:pt>
                <c:pt idx="12">
                  <c:v>16.100000000000001</c:v>
                </c:pt>
                <c:pt idx="13">
                  <c:v>16.100000000000001</c:v>
                </c:pt>
                <c:pt idx="14">
                  <c:v>15.5</c:v>
                </c:pt>
                <c:pt idx="15">
                  <c:v>15.5</c:v>
                </c:pt>
                <c:pt idx="16">
                  <c:v>13.8</c:v>
                </c:pt>
                <c:pt idx="17">
                  <c:v>13.8</c:v>
                </c:pt>
                <c:pt idx="18">
                  <c:v>11.3</c:v>
                </c:pt>
                <c:pt idx="19">
                  <c:v>7.9</c:v>
                </c:pt>
                <c:pt idx="20">
                  <c:v>15.1</c:v>
                </c:pt>
                <c:pt idx="21">
                  <c:v>13.5</c:v>
                </c:pt>
                <c:pt idx="22">
                  <c:v>10.8</c:v>
                </c:pt>
                <c:pt idx="23">
                  <c:v>9.5</c:v>
                </c:pt>
                <c:pt idx="24">
                  <c:v>12.7</c:v>
                </c:pt>
                <c:pt idx="25">
                  <c:v>11.6</c:v>
                </c:pt>
                <c:pt idx="26">
                  <c:v>11.7</c:v>
                </c:pt>
                <c:pt idx="27">
                  <c:v>11.9</c:v>
                </c:pt>
                <c:pt idx="28">
                  <c:v>10.8</c:v>
                </c:pt>
                <c:pt idx="29">
                  <c:v>8.5</c:v>
                </c:pt>
                <c:pt idx="30">
                  <c:v>10.7</c:v>
                </c:pt>
                <c:pt idx="31">
                  <c:v>9.1</c:v>
                </c:pt>
                <c:pt idx="32">
                  <c:v>12.1</c:v>
                </c:pt>
                <c:pt idx="33">
                  <c:v>14.9</c:v>
                </c:pt>
                <c:pt idx="34">
                  <c:v>13.5</c:v>
                </c:pt>
                <c:pt idx="35">
                  <c:v>12.2</c:v>
                </c:pt>
                <c:pt idx="36">
                  <c:v>10.3</c:v>
                </c:pt>
                <c:pt idx="37">
                  <c:v>13.2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D-4C3C-BE4B-E22C47FBD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114912"/>
        <c:axId val="668108672"/>
      </c:scatterChart>
      <c:valAx>
        <c:axId val="66811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08672"/>
        <c:crosses val="autoZero"/>
        <c:crossBetween val="midCat"/>
      </c:valAx>
      <c:valAx>
        <c:axId val="6681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1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BINOMIAL!$B$6:$B$11</c:f>
              <c:numCache>
                <c:formatCode>0.00%</c:formatCode>
                <c:ptCount val="6"/>
                <c:pt idx="0">
                  <c:v>3.125E-2</c:v>
                </c:pt>
                <c:pt idx="1">
                  <c:v>0.15624999999999992</c:v>
                </c:pt>
                <c:pt idx="2">
                  <c:v>0.3125</c:v>
                </c:pt>
                <c:pt idx="3">
                  <c:v>0.3125</c:v>
                </c:pt>
                <c:pt idx="4">
                  <c:v>0.15624999999999992</c:v>
                </c:pt>
                <c:pt idx="5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2-473A-B6D4-F59140149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785551"/>
        <c:axId val="1962799471"/>
      </c:barChart>
      <c:catAx>
        <c:axId val="1962785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99471"/>
        <c:crosses val="autoZero"/>
        <c:auto val="1"/>
        <c:lblAlgn val="ctr"/>
        <c:lblOffset val="100"/>
        <c:noMultiLvlLbl val="0"/>
      </c:catAx>
      <c:valAx>
        <c:axId val="196279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8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BINOMIAL!$B$15:$B$20</c:f>
              <c:numCache>
                <c:formatCode>0.00%</c:formatCode>
                <c:ptCount val="6"/>
                <c:pt idx="0">
                  <c:v>0.59048999999999996</c:v>
                </c:pt>
                <c:pt idx="1">
                  <c:v>0.32805000000000001</c:v>
                </c:pt>
                <c:pt idx="2">
                  <c:v>7.2899999999999979E-2</c:v>
                </c:pt>
                <c:pt idx="3">
                  <c:v>8.0999999999999961E-3</c:v>
                </c:pt>
                <c:pt idx="4">
                  <c:v>4.5000000000000064E-4</c:v>
                </c:pt>
                <c:pt idx="5">
                  <c:v>1.0000000000000016E-5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0-4319-9D68-808051EB6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787951"/>
        <c:axId val="1962795151"/>
      </c:barChart>
      <c:catAx>
        <c:axId val="1962787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95151"/>
        <c:crosses val="autoZero"/>
        <c:auto val="1"/>
        <c:lblAlgn val="ctr"/>
        <c:lblOffset val="100"/>
        <c:noMultiLvlLbl val="0"/>
      </c:catAx>
      <c:valAx>
        <c:axId val="19627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8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POISSON!$G$6:$G$21</c:f>
              <c:numCache>
                <c:formatCode>0.00%</c:formatCode>
                <c:ptCount val="16"/>
                <c:pt idx="0">
                  <c:v>0.36787944117144233</c:v>
                </c:pt>
                <c:pt idx="1">
                  <c:v>0.36787944117144233</c:v>
                </c:pt>
                <c:pt idx="2">
                  <c:v>0.18393972058572117</c:v>
                </c:pt>
                <c:pt idx="3">
                  <c:v>6.1313240195240391E-2</c:v>
                </c:pt>
                <c:pt idx="4">
                  <c:v>1.5328310048810098E-2</c:v>
                </c:pt>
                <c:pt idx="5">
                  <c:v>3.0656620097620196E-3</c:v>
                </c:pt>
                <c:pt idx="6">
                  <c:v>5.1094366829366989E-4</c:v>
                </c:pt>
                <c:pt idx="7">
                  <c:v>7.2991952613381413E-5</c:v>
                </c:pt>
                <c:pt idx="8">
                  <c:v>9.1239940766726766E-6</c:v>
                </c:pt>
                <c:pt idx="9">
                  <c:v>1.0137771196302974E-6</c:v>
                </c:pt>
                <c:pt idx="10">
                  <c:v>1.0137771196302975E-7</c:v>
                </c:pt>
                <c:pt idx="11">
                  <c:v>9.2161556330027044E-9</c:v>
                </c:pt>
                <c:pt idx="12">
                  <c:v>7.6801296941689197E-10</c:v>
                </c:pt>
                <c:pt idx="13">
                  <c:v>5.9077920724376311E-11</c:v>
                </c:pt>
                <c:pt idx="14">
                  <c:v>4.2198514803125934E-12</c:v>
                </c:pt>
                <c:pt idx="15">
                  <c:v>2.8132343202083955E-13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6-4596-99AE-318B7A6F7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808591"/>
        <c:axId val="1962797551"/>
      </c:lineChart>
      <c:catAx>
        <c:axId val="196280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97551"/>
        <c:crosses val="autoZero"/>
        <c:auto val="1"/>
        <c:lblAlgn val="ctr"/>
        <c:lblOffset val="100"/>
        <c:noMultiLvlLbl val="0"/>
      </c:catAx>
      <c:valAx>
        <c:axId val="19627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8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POISSON!$B$25:$B$80</c:f>
              <c:numCache>
                <c:formatCode>0.00%</c:formatCode>
                <c:ptCount val="56"/>
                <c:pt idx="0">
                  <c:v>1.8315638888734179E-2</c:v>
                </c:pt>
                <c:pt idx="1">
                  <c:v>7.3262555554936715E-2</c:v>
                </c:pt>
                <c:pt idx="2">
                  <c:v>0.14652511110987346</c:v>
                </c:pt>
                <c:pt idx="3">
                  <c:v>0.19536681481316462</c:v>
                </c:pt>
                <c:pt idx="4">
                  <c:v>0.19536681481316462</c:v>
                </c:pt>
                <c:pt idx="5">
                  <c:v>0.1562934518505317</c:v>
                </c:pt>
                <c:pt idx="6">
                  <c:v>0.10419563456702115</c:v>
                </c:pt>
                <c:pt idx="7">
                  <c:v>5.9540362609726373E-2</c:v>
                </c:pt>
                <c:pt idx="8">
                  <c:v>2.9770181304863183E-2</c:v>
                </c:pt>
                <c:pt idx="9">
                  <c:v>1.3231191691050297E-2</c:v>
                </c:pt>
                <c:pt idx="10">
                  <c:v>5.2924766764201169E-3</c:v>
                </c:pt>
                <c:pt idx="11">
                  <c:v>1.9245369732436813E-3</c:v>
                </c:pt>
                <c:pt idx="12">
                  <c:v>6.4151232441456022E-4</c:v>
                </c:pt>
                <c:pt idx="13">
                  <c:v>1.9738840751217212E-4</c:v>
                </c:pt>
                <c:pt idx="14">
                  <c:v>5.6396687860620615E-5</c:v>
                </c:pt>
                <c:pt idx="15">
                  <c:v>1.5039116762832177E-5</c:v>
                </c:pt>
                <c:pt idx="16">
                  <c:v>3.7597791907080502E-6</c:v>
                </c:pt>
                <c:pt idx="17">
                  <c:v>8.8465392722542387E-7</c:v>
                </c:pt>
                <c:pt idx="18">
                  <c:v>1.9658976160564875E-7</c:v>
                </c:pt>
                <c:pt idx="19">
                  <c:v>4.1387318232768188E-8</c:v>
                </c:pt>
                <c:pt idx="20">
                  <c:v>8.2774636465536645E-9</c:v>
                </c:pt>
                <c:pt idx="21">
                  <c:v>1.5766597422006992E-9</c:v>
                </c:pt>
                <c:pt idx="22">
                  <c:v>2.8666540767285399E-10</c:v>
                </c:pt>
                <c:pt idx="23">
                  <c:v>4.9854853508322518E-11</c:v>
                </c:pt>
                <c:pt idx="24">
                  <c:v>8.3091422513870453E-12</c:v>
                </c:pt>
                <c:pt idx="25">
                  <c:v>1.3294627602219265E-12</c:v>
                </c:pt>
                <c:pt idx="26">
                  <c:v>2.0453273234183633E-13</c:v>
                </c:pt>
                <c:pt idx="27">
                  <c:v>3.0301145532123779E-14</c:v>
                </c:pt>
                <c:pt idx="28">
                  <c:v>4.3287350760177019E-15</c:v>
                </c:pt>
                <c:pt idx="29">
                  <c:v>5.9706690703692043E-16</c:v>
                </c:pt>
                <c:pt idx="30">
                  <c:v>7.9608920938256244E-17</c:v>
                </c:pt>
                <c:pt idx="31">
                  <c:v>1.0272118830742754E-17</c:v>
                </c:pt>
                <c:pt idx="32">
                  <c:v>1.2840148538428504E-18</c:v>
                </c:pt>
                <c:pt idx="33">
                  <c:v>1.5563816410216301E-19</c:v>
                </c:pt>
                <c:pt idx="34">
                  <c:v>1.8310372247313261E-20</c:v>
                </c:pt>
                <c:pt idx="35">
                  <c:v>2.0926139711215209E-21</c:v>
                </c:pt>
                <c:pt idx="36">
                  <c:v>2.3251266345794641E-22</c:v>
                </c:pt>
                <c:pt idx="37">
                  <c:v>2.5136504157615559E-23</c:v>
                </c:pt>
                <c:pt idx="38">
                  <c:v>2.6459478060648091E-24</c:v>
                </c:pt>
                <c:pt idx="39">
                  <c:v>2.7137926216049219E-25</c:v>
                </c:pt>
                <c:pt idx="40">
                  <c:v>2.7137926216048955E-26</c:v>
                </c:pt>
                <c:pt idx="41">
                  <c:v>2.6476025576633763E-27</c:v>
                </c:pt>
                <c:pt idx="42">
                  <c:v>2.5215262453936621E-28</c:v>
                </c:pt>
                <c:pt idx="43">
                  <c:v>2.3456058096685469E-29</c:v>
                </c:pt>
                <c:pt idx="44">
                  <c:v>2.1323689178804845E-30</c:v>
                </c:pt>
                <c:pt idx="45">
                  <c:v>1.8954390381159834E-31</c:v>
                </c:pt>
                <c:pt idx="46">
                  <c:v>1.6482078592313016E-32</c:v>
                </c:pt>
                <c:pt idx="47">
                  <c:v>1.4027300929627859E-33</c:v>
                </c:pt>
                <c:pt idx="48">
                  <c:v>1.168941744135654E-34</c:v>
                </c:pt>
                <c:pt idx="49">
                  <c:v>9.542381584780909E-36</c:v>
                </c:pt>
                <c:pt idx="50">
                  <c:v>7.6339052678246587E-37</c:v>
                </c:pt>
                <c:pt idx="51">
                  <c:v>5.9873766806468736E-38</c:v>
                </c:pt>
                <c:pt idx="52">
                  <c:v>4.6056743697283249E-39</c:v>
                </c:pt>
                <c:pt idx="53">
                  <c:v>3.4759806563987881E-40</c:v>
                </c:pt>
                <c:pt idx="54">
                  <c:v>2.5748004862213286E-41</c:v>
                </c:pt>
                <c:pt idx="55">
                  <c:v>1.8725821717972775E-42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A-40D2-B9A7-AE86C5988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89871"/>
        <c:axId val="1962810991"/>
      </c:lineChart>
      <c:catAx>
        <c:axId val="196278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810991"/>
        <c:crosses val="autoZero"/>
        <c:auto val="1"/>
        <c:lblAlgn val="ctr"/>
        <c:lblOffset val="100"/>
        <c:noMultiLvlLbl val="0"/>
      </c:catAx>
      <c:valAx>
        <c:axId val="19628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278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44</xdr:row>
          <xdr:rowOff>53340</xdr:rowOff>
        </xdr:from>
        <xdr:to>
          <xdr:col>2</xdr:col>
          <xdr:colOff>259080</xdr:colOff>
          <xdr:row>47</xdr:row>
          <xdr:rowOff>121920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45720</xdr:rowOff>
        </xdr:from>
        <xdr:to>
          <xdr:col>4</xdr:col>
          <xdr:colOff>266700</xdr:colOff>
          <xdr:row>51</xdr:row>
          <xdr:rowOff>144780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52</xdr:row>
          <xdr:rowOff>91440</xdr:rowOff>
        </xdr:from>
        <xdr:to>
          <xdr:col>4</xdr:col>
          <xdr:colOff>106680</xdr:colOff>
          <xdr:row>57</xdr:row>
          <xdr:rowOff>114300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121920</xdr:rowOff>
        </xdr:from>
        <xdr:to>
          <xdr:col>4</xdr:col>
          <xdr:colOff>121920</xdr:colOff>
          <xdr:row>63</xdr:row>
          <xdr:rowOff>137160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64</xdr:row>
          <xdr:rowOff>129540</xdr:rowOff>
        </xdr:from>
        <xdr:to>
          <xdr:col>4</xdr:col>
          <xdr:colOff>83820</xdr:colOff>
          <xdr:row>68</xdr:row>
          <xdr:rowOff>15240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579120</xdr:colOff>
          <xdr:row>57</xdr:row>
          <xdr:rowOff>91440</xdr:rowOff>
        </xdr:from>
        <xdr:to>
          <xdr:col>12</xdr:col>
          <xdr:colOff>83820</xdr:colOff>
          <xdr:row>61</xdr:row>
          <xdr:rowOff>60960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6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449580</xdr:colOff>
          <xdr:row>54</xdr:row>
          <xdr:rowOff>22860</xdr:rowOff>
        </xdr:from>
        <xdr:to>
          <xdr:col>7</xdr:col>
          <xdr:colOff>647700</xdr:colOff>
          <xdr:row>59</xdr:row>
          <xdr:rowOff>38100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52</xdr:row>
          <xdr:rowOff>152400</xdr:rowOff>
        </xdr:from>
        <xdr:to>
          <xdr:col>10</xdr:col>
          <xdr:colOff>563880</xdr:colOff>
          <xdr:row>56</xdr:row>
          <xdr:rowOff>38100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685800</xdr:colOff>
          <xdr:row>49</xdr:row>
          <xdr:rowOff>106680</xdr:rowOff>
        </xdr:from>
        <xdr:to>
          <xdr:col>10</xdr:col>
          <xdr:colOff>388620</xdr:colOff>
          <xdr:row>51</xdr:row>
          <xdr:rowOff>175260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6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198120</xdr:colOff>
          <xdr:row>4</xdr:row>
          <xdr:rowOff>22860</xdr:rowOff>
        </xdr:from>
        <xdr:to>
          <xdr:col>29</xdr:col>
          <xdr:colOff>312420</xdr:colOff>
          <xdr:row>7</xdr:row>
          <xdr:rowOff>114300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6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320488</xdr:colOff>
      <xdr:row>52</xdr:row>
      <xdr:rowOff>96371</xdr:rowOff>
    </xdr:from>
    <xdr:to>
      <xdr:col>11</xdr:col>
      <xdr:colOff>87406</xdr:colOff>
      <xdr:row>67</xdr:row>
      <xdr:rowOff>82924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99996F-A6A5-6A1D-8CDB-28C530211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15</xdr:row>
          <xdr:rowOff>53340</xdr:rowOff>
        </xdr:from>
        <xdr:to>
          <xdr:col>3</xdr:col>
          <xdr:colOff>83820</xdr:colOff>
          <xdr:row>18</xdr:row>
          <xdr:rowOff>121920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A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45720</xdr:rowOff>
        </xdr:from>
        <xdr:to>
          <xdr:col>3</xdr:col>
          <xdr:colOff>617220</xdr:colOff>
          <xdr:row>22</xdr:row>
          <xdr:rowOff>144780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53340</xdr:rowOff>
        </xdr:from>
        <xdr:to>
          <xdr:col>3</xdr:col>
          <xdr:colOff>15240</xdr:colOff>
          <xdr:row>27</xdr:row>
          <xdr:rowOff>121920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A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182880</xdr:colOff>
          <xdr:row>23</xdr:row>
          <xdr:rowOff>91440</xdr:rowOff>
        </xdr:from>
        <xdr:to>
          <xdr:col>7</xdr:col>
          <xdr:colOff>373380</xdr:colOff>
          <xdr:row>28</xdr:row>
          <xdr:rowOff>106680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A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35</xdr:row>
          <xdr:rowOff>129540</xdr:rowOff>
        </xdr:from>
        <xdr:to>
          <xdr:col>3</xdr:col>
          <xdr:colOff>434340</xdr:colOff>
          <xdr:row>39</xdr:row>
          <xdr:rowOff>15240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A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579120</xdr:colOff>
          <xdr:row>20</xdr:row>
          <xdr:rowOff>91440</xdr:rowOff>
        </xdr:from>
        <xdr:to>
          <xdr:col>14</xdr:col>
          <xdr:colOff>15240</xdr:colOff>
          <xdr:row>24</xdr:row>
          <xdr:rowOff>60960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A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487680</xdr:colOff>
          <xdr:row>20</xdr:row>
          <xdr:rowOff>91440</xdr:rowOff>
        </xdr:from>
        <xdr:to>
          <xdr:col>10</xdr:col>
          <xdr:colOff>350520</xdr:colOff>
          <xdr:row>25</xdr:row>
          <xdr:rowOff>106680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A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16</xdr:row>
          <xdr:rowOff>60960</xdr:rowOff>
        </xdr:from>
        <xdr:to>
          <xdr:col>13</xdr:col>
          <xdr:colOff>228600</xdr:colOff>
          <xdr:row>19</xdr:row>
          <xdr:rowOff>129540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A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365760</xdr:colOff>
          <xdr:row>16</xdr:row>
          <xdr:rowOff>38100</xdr:rowOff>
        </xdr:from>
        <xdr:to>
          <xdr:col>10</xdr:col>
          <xdr:colOff>251460</xdr:colOff>
          <xdr:row>18</xdr:row>
          <xdr:rowOff>106680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A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</xdr:colOff>
          <xdr:row>2</xdr:row>
          <xdr:rowOff>175260</xdr:rowOff>
        </xdr:from>
        <xdr:to>
          <xdr:col>20</xdr:col>
          <xdr:colOff>76200</xdr:colOff>
          <xdr:row>7</xdr:row>
          <xdr:rowOff>144780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A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21166</xdr:colOff>
      <xdr:row>2</xdr:row>
      <xdr:rowOff>179294</xdr:rowOff>
    </xdr:from>
    <xdr:to>
      <xdr:col>12</xdr:col>
      <xdr:colOff>152399</xdr:colOff>
      <xdr:row>12</xdr:row>
      <xdr:rowOff>59265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3AB7A0-44C8-5230-B98B-328E77D35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601133</xdr:colOff>
      <xdr:row>12</xdr:row>
      <xdr:rowOff>71966</xdr:rowOff>
    </xdr:from>
    <xdr:to>
      <xdr:col>12</xdr:col>
      <xdr:colOff>118533</xdr:colOff>
      <xdr:row>21</xdr:row>
      <xdr:rowOff>169333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AB9AAB-08F6-B3C2-B183-2F1BC2FA3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484414</xdr:colOff>
      <xdr:row>3</xdr:row>
      <xdr:rowOff>122466</xdr:rowOff>
    </xdr:from>
    <xdr:to>
      <xdr:col>16</xdr:col>
      <xdr:colOff>179614</xdr:colOff>
      <xdr:row>18</xdr:row>
      <xdr:rowOff>89808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B393D3-7410-4559-8F31-1E9164331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21770</xdr:colOff>
      <xdr:row>23</xdr:row>
      <xdr:rowOff>166009</xdr:rowOff>
    </xdr:from>
    <xdr:to>
      <xdr:col>10</xdr:col>
      <xdr:colOff>326570</xdr:colOff>
      <xdr:row>38</xdr:row>
      <xdr:rowOff>133352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F2505F-5CAF-0D74-D309-38D489F31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16.bin"/><Relationship Id="rId18" Type="http://schemas.openxmlformats.org/officeDocument/2006/relationships/image" Target="../media/image8.emf"/><Relationship Id="rId3" Type="http://schemas.openxmlformats.org/officeDocument/2006/relationships/oleObject" Target="../embeddings/oleObject11.bin"/><Relationship Id="rId21" Type="http://schemas.openxmlformats.org/officeDocument/2006/relationships/oleObject" Target="../embeddings/oleObject20.bin"/><Relationship Id="rId7" Type="http://schemas.openxmlformats.org/officeDocument/2006/relationships/oleObject" Target="../embeddings/oleObject13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18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15.bin"/><Relationship Id="rId5" Type="http://schemas.openxmlformats.org/officeDocument/2006/relationships/oleObject" Target="../embeddings/oleObject12.bin"/><Relationship Id="rId15" Type="http://schemas.openxmlformats.org/officeDocument/2006/relationships/oleObject" Target="../embeddings/oleObject17.bin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19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14.bin"/><Relationship Id="rId14" Type="http://schemas.openxmlformats.org/officeDocument/2006/relationships/image" Target="../media/image6.emf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zoomScale="110" zoomScaleNormal="110" workbookViewId="0">
      <selection activeCell="E21" sqref="E21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76</v>
      </c>
      <c r="B2" s="3">
        <v>1</v>
      </c>
    </row>
    <row r="3" spans="1:2" x14ac:dyDescent="0.3">
      <c r="A3" s="2">
        <v>90</v>
      </c>
      <c r="B3" s="3">
        <v>1</v>
      </c>
    </row>
    <row r="4" spans="1:2" x14ac:dyDescent="0.3">
      <c r="A4" s="2">
        <v>98</v>
      </c>
      <c r="B4" s="3">
        <v>1</v>
      </c>
    </row>
    <row r="5" spans="1:2" x14ac:dyDescent="0.3">
      <c r="A5" s="2">
        <v>103</v>
      </c>
      <c r="B5" s="3">
        <v>1</v>
      </c>
    </row>
    <row r="6" spans="1:2" x14ac:dyDescent="0.3">
      <c r="A6" s="2">
        <v>105</v>
      </c>
      <c r="B6" s="3">
        <v>1</v>
      </c>
    </row>
    <row r="7" spans="1:2" x14ac:dyDescent="0.3">
      <c r="A7" s="2">
        <v>114</v>
      </c>
      <c r="B7" s="3">
        <v>1</v>
      </c>
    </row>
    <row r="8" spans="1:2" x14ac:dyDescent="0.3">
      <c r="A8" s="2">
        <v>121</v>
      </c>
      <c r="B8" s="3">
        <v>1</v>
      </c>
    </row>
    <row r="9" spans="1:2" x14ac:dyDescent="0.3">
      <c r="A9" s="2">
        <v>124</v>
      </c>
      <c r="B9" s="3">
        <v>1</v>
      </c>
    </row>
    <row r="10" spans="1:2" x14ac:dyDescent="0.3">
      <c r="A10" s="2">
        <v>136</v>
      </c>
      <c r="B10" s="3">
        <v>1</v>
      </c>
    </row>
    <row r="11" spans="1:2" x14ac:dyDescent="0.3">
      <c r="A11" s="2">
        <v>140</v>
      </c>
      <c r="B11" s="3">
        <v>1</v>
      </c>
    </row>
    <row r="12" spans="1:2" x14ac:dyDescent="0.3">
      <c r="A12" s="2">
        <v>140</v>
      </c>
      <c r="B12" s="3">
        <v>1</v>
      </c>
    </row>
    <row r="13" spans="1:2" x14ac:dyDescent="0.3">
      <c r="A13" s="2">
        <v>145</v>
      </c>
      <c r="B13" s="3">
        <v>1</v>
      </c>
    </row>
    <row r="14" spans="1:2" x14ac:dyDescent="0.3">
      <c r="A14" s="2">
        <v>150</v>
      </c>
      <c r="B14" s="3">
        <v>1</v>
      </c>
    </row>
    <row r="15" spans="1:2" x14ac:dyDescent="0.3">
      <c r="A15" s="2">
        <v>150</v>
      </c>
      <c r="B15" s="3">
        <v>1</v>
      </c>
    </row>
    <row r="16" spans="1:2" x14ac:dyDescent="0.3">
      <c r="A16" s="2">
        <v>158</v>
      </c>
      <c r="B16" s="3">
        <v>1</v>
      </c>
    </row>
    <row r="17" spans="1:2" x14ac:dyDescent="0.3">
      <c r="A17" s="2">
        <v>164</v>
      </c>
      <c r="B17" s="3">
        <v>1</v>
      </c>
    </row>
    <row r="18" spans="1:2" x14ac:dyDescent="0.3">
      <c r="A18" s="2">
        <v>168</v>
      </c>
      <c r="B18" s="3">
        <v>1</v>
      </c>
    </row>
    <row r="19" spans="1:2" x14ac:dyDescent="0.3">
      <c r="A19" s="2">
        <v>176</v>
      </c>
      <c r="B19" s="3">
        <v>1</v>
      </c>
    </row>
    <row r="20" spans="1:2" x14ac:dyDescent="0.3">
      <c r="A20" s="2">
        <v>178</v>
      </c>
      <c r="B20" s="3">
        <v>1</v>
      </c>
    </row>
    <row r="21" spans="1:2" x14ac:dyDescent="0.3">
      <c r="A21" s="2">
        <v>200</v>
      </c>
      <c r="B21" s="3">
        <v>1</v>
      </c>
    </row>
    <row r="22" spans="1:2" x14ac:dyDescent="0.3">
      <c r="A22" s="2">
        <v>202</v>
      </c>
      <c r="B22" s="3">
        <v>1</v>
      </c>
    </row>
    <row r="23" spans="1:2" x14ac:dyDescent="0.3">
      <c r="A23" s="2">
        <v>205</v>
      </c>
      <c r="B23" s="3">
        <v>1</v>
      </c>
    </row>
    <row r="24" spans="1:2" x14ac:dyDescent="0.3">
      <c r="A24" s="2">
        <v>212</v>
      </c>
      <c r="B24" s="3">
        <v>1</v>
      </c>
    </row>
    <row r="25" spans="1:2" x14ac:dyDescent="0.3">
      <c r="A25" s="2">
        <v>230</v>
      </c>
      <c r="B25" s="3">
        <v>1</v>
      </c>
    </row>
    <row r="26" spans="1:2" x14ac:dyDescent="0.3">
      <c r="A26" s="2">
        <v>245</v>
      </c>
      <c r="B26" s="3">
        <v>1</v>
      </c>
    </row>
    <row r="27" spans="1:2" x14ac:dyDescent="0.3">
      <c r="A27" s="2">
        <v>246</v>
      </c>
      <c r="B27" s="3">
        <v>1</v>
      </c>
    </row>
    <row r="28" spans="1:2" x14ac:dyDescent="0.3">
      <c r="A28" s="2">
        <v>247</v>
      </c>
      <c r="B28" s="3">
        <v>1</v>
      </c>
    </row>
    <row r="29" spans="1:2" x14ac:dyDescent="0.3">
      <c r="A29" s="2">
        <v>249</v>
      </c>
      <c r="B29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6"/>
  <sheetViews>
    <sheetView workbookViewId="0">
      <selection activeCell="E25" sqref="E25"/>
    </sheetView>
  </sheetViews>
  <sheetFormatPr defaultRowHeight="14.4" x14ac:dyDescent="0.3"/>
  <sheetData>
    <row r="1" spans="1:2" x14ac:dyDescent="0.3">
      <c r="A1" s="6" t="s">
        <v>3</v>
      </c>
      <c r="B1" s="6" t="s">
        <v>2</v>
      </c>
    </row>
    <row r="2" spans="1:2" x14ac:dyDescent="0.3">
      <c r="A2" s="6">
        <v>8</v>
      </c>
      <c r="B2" s="6">
        <v>1</v>
      </c>
    </row>
    <row r="3" spans="1:2" x14ac:dyDescent="0.3">
      <c r="A3" s="6">
        <v>264</v>
      </c>
      <c r="B3" s="6">
        <v>1</v>
      </c>
    </row>
    <row r="4" spans="1:2" x14ac:dyDescent="0.3">
      <c r="A4" s="6">
        <v>168</v>
      </c>
      <c r="B4" s="6">
        <v>1</v>
      </c>
    </row>
    <row r="5" spans="1:2" x14ac:dyDescent="0.3">
      <c r="A5" s="6">
        <v>72</v>
      </c>
      <c r="B5" s="6">
        <v>1</v>
      </c>
    </row>
    <row r="6" spans="1:2" x14ac:dyDescent="0.3">
      <c r="A6" s="6">
        <v>48</v>
      </c>
      <c r="B6" s="6">
        <v>1</v>
      </c>
    </row>
    <row r="7" spans="1:2" x14ac:dyDescent="0.3">
      <c r="A7" s="6">
        <v>24</v>
      </c>
      <c r="B7" s="6">
        <v>1</v>
      </c>
    </row>
    <row r="8" spans="1:2" x14ac:dyDescent="0.3">
      <c r="A8" s="6">
        <v>96</v>
      </c>
      <c r="B8" s="6">
        <v>1</v>
      </c>
    </row>
    <row r="9" spans="1:2" x14ac:dyDescent="0.3">
      <c r="A9" s="6">
        <v>408</v>
      </c>
      <c r="B9" s="6">
        <v>1</v>
      </c>
    </row>
    <row r="10" spans="1:2" x14ac:dyDescent="0.3">
      <c r="A10" s="6">
        <v>192</v>
      </c>
      <c r="B10" s="6">
        <v>1</v>
      </c>
    </row>
    <row r="11" spans="1:2" x14ac:dyDescent="0.3">
      <c r="A11" s="6">
        <v>8</v>
      </c>
      <c r="B11" s="6">
        <v>1</v>
      </c>
    </row>
    <row r="12" spans="1:2" x14ac:dyDescent="0.3">
      <c r="A12" s="6">
        <v>8</v>
      </c>
      <c r="B12" s="6">
        <v>1</v>
      </c>
    </row>
    <row r="13" spans="1:2" x14ac:dyDescent="0.3">
      <c r="A13" s="6">
        <v>24</v>
      </c>
      <c r="B13" s="6">
        <v>1</v>
      </c>
    </row>
    <row r="14" spans="1:2" x14ac:dyDescent="0.3">
      <c r="A14" s="6">
        <v>48</v>
      </c>
      <c r="B14" s="6">
        <v>1</v>
      </c>
    </row>
    <row r="15" spans="1:2" x14ac:dyDescent="0.3">
      <c r="A15" s="6">
        <v>8</v>
      </c>
      <c r="B15" s="6">
        <v>1</v>
      </c>
    </row>
    <row r="16" spans="1:2" x14ac:dyDescent="0.3">
      <c r="A16" s="6">
        <v>72</v>
      </c>
      <c r="B16" s="6">
        <v>1</v>
      </c>
    </row>
    <row r="17" spans="1:2" x14ac:dyDescent="0.3">
      <c r="A17" s="6">
        <v>408</v>
      </c>
      <c r="B17" s="6">
        <v>1</v>
      </c>
    </row>
    <row r="18" spans="1:2" x14ac:dyDescent="0.3">
      <c r="A18" s="6">
        <v>8</v>
      </c>
      <c r="B18" s="6">
        <v>1</v>
      </c>
    </row>
    <row r="19" spans="1:2" x14ac:dyDescent="0.3">
      <c r="A19" s="6">
        <v>24</v>
      </c>
      <c r="B19" s="6">
        <v>1</v>
      </c>
    </row>
    <row r="20" spans="1:2" x14ac:dyDescent="0.3">
      <c r="A20" s="6">
        <v>24</v>
      </c>
      <c r="B20" s="6">
        <v>1</v>
      </c>
    </row>
    <row r="21" spans="1:2" x14ac:dyDescent="0.3">
      <c r="A21" s="6">
        <v>24</v>
      </c>
      <c r="B21" s="6">
        <v>1</v>
      </c>
    </row>
    <row r="22" spans="1:2" x14ac:dyDescent="0.3">
      <c r="A22" s="6">
        <v>96</v>
      </c>
      <c r="B22" s="6">
        <v>1</v>
      </c>
    </row>
    <row r="23" spans="1:2" x14ac:dyDescent="0.3">
      <c r="A23" s="6">
        <v>72</v>
      </c>
      <c r="B23" s="6">
        <v>1</v>
      </c>
    </row>
    <row r="24" spans="1:2" x14ac:dyDescent="0.3">
      <c r="A24" s="6">
        <v>336</v>
      </c>
      <c r="B24" s="6">
        <v>1</v>
      </c>
    </row>
    <row r="25" spans="1:2" x14ac:dyDescent="0.3">
      <c r="A25" s="6">
        <v>120</v>
      </c>
      <c r="B25" s="6">
        <v>1</v>
      </c>
    </row>
    <row r="26" spans="1:2" x14ac:dyDescent="0.3">
      <c r="A26" s="6">
        <v>360</v>
      </c>
      <c r="B26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F85A-230A-4494-BDB1-BA350FEBD681}">
  <dimension ref="A1:B40"/>
  <sheetViews>
    <sheetView workbookViewId="0">
      <selection activeCell="J10" sqref="J10"/>
    </sheetView>
  </sheetViews>
  <sheetFormatPr defaultRowHeight="14.4" x14ac:dyDescent="0.3"/>
  <sheetData>
    <row r="1" spans="1:2" x14ac:dyDescent="0.3">
      <c r="A1" s="3" t="s">
        <v>60</v>
      </c>
      <c r="B1" s="3" t="s">
        <v>2</v>
      </c>
    </row>
    <row r="2" spans="1:2" x14ac:dyDescent="0.3">
      <c r="A2" s="2">
        <v>20.100000000000001</v>
      </c>
      <c r="B2" s="3">
        <v>1</v>
      </c>
    </row>
    <row r="3" spans="1:2" x14ac:dyDescent="0.3">
      <c r="A3" s="2">
        <v>20.399999999999999</v>
      </c>
      <c r="B3" s="3">
        <v>1</v>
      </c>
    </row>
    <row r="4" spans="1:2" x14ac:dyDescent="0.3">
      <c r="A4" s="2">
        <v>21.5</v>
      </c>
      <c r="B4" s="3">
        <v>1</v>
      </c>
    </row>
    <row r="5" spans="1:2" x14ac:dyDescent="0.3">
      <c r="A5" s="2">
        <v>32.5</v>
      </c>
      <c r="B5" s="3">
        <v>1</v>
      </c>
    </row>
    <row r="6" spans="1:2" x14ac:dyDescent="0.3">
      <c r="A6" s="2">
        <v>35.299999999999997</v>
      </c>
      <c r="B6" s="3">
        <v>1</v>
      </c>
    </row>
    <row r="7" spans="1:2" x14ac:dyDescent="0.3">
      <c r="A7" s="2">
        <v>56</v>
      </c>
      <c r="B7" s="3">
        <v>1</v>
      </c>
    </row>
    <row r="8" spans="1:2" x14ac:dyDescent="0.3">
      <c r="A8" s="2">
        <v>63.6</v>
      </c>
      <c r="B8" s="3">
        <v>1</v>
      </c>
    </row>
    <row r="9" spans="1:2" x14ac:dyDescent="0.3">
      <c r="A9" s="2">
        <v>74.099999999999994</v>
      </c>
      <c r="B9" s="3">
        <v>1</v>
      </c>
    </row>
    <row r="10" spans="1:2" x14ac:dyDescent="0.3">
      <c r="A10" s="2">
        <v>78.099999999999994</v>
      </c>
      <c r="B10" s="3">
        <v>1</v>
      </c>
    </row>
    <row r="11" spans="1:2" x14ac:dyDescent="0.3">
      <c r="A11" s="2">
        <v>82</v>
      </c>
      <c r="B11" s="3">
        <v>1</v>
      </c>
    </row>
    <row r="12" spans="1:2" x14ac:dyDescent="0.3">
      <c r="A12" s="2">
        <v>98.7</v>
      </c>
      <c r="B12" s="3">
        <v>1</v>
      </c>
    </row>
    <row r="13" spans="1:2" x14ac:dyDescent="0.3">
      <c r="A13" s="2">
        <v>115.3</v>
      </c>
      <c r="B13" s="3">
        <v>1</v>
      </c>
    </row>
    <row r="14" spans="1:2" x14ac:dyDescent="0.3">
      <c r="A14" s="2">
        <v>116.9</v>
      </c>
      <c r="B14" s="3">
        <v>1</v>
      </c>
    </row>
    <row r="15" spans="1:2" x14ac:dyDescent="0.3">
      <c r="A15" s="2">
        <v>190.9</v>
      </c>
      <c r="B15" s="3">
        <v>1</v>
      </c>
    </row>
    <row r="16" spans="1:2" x14ac:dyDescent="0.3">
      <c r="A16" s="2">
        <v>191.8</v>
      </c>
      <c r="B16" s="3">
        <v>1</v>
      </c>
    </row>
    <row r="17" spans="1:2" x14ac:dyDescent="0.3">
      <c r="A17" s="2">
        <v>219.2</v>
      </c>
      <c r="B17" s="3">
        <v>1</v>
      </c>
    </row>
    <row r="18" spans="1:2" x14ac:dyDescent="0.3">
      <c r="A18" s="2">
        <v>234.5</v>
      </c>
      <c r="B18" s="3">
        <v>1</v>
      </c>
    </row>
    <row r="19" spans="1:2" x14ac:dyDescent="0.3">
      <c r="A19" s="2">
        <v>235.7</v>
      </c>
      <c r="B19" s="3">
        <v>1</v>
      </c>
    </row>
    <row r="20" spans="1:2" x14ac:dyDescent="0.3">
      <c r="A20" s="2">
        <v>253.3</v>
      </c>
      <c r="B20" s="3">
        <v>1</v>
      </c>
    </row>
    <row r="21" spans="1:2" x14ac:dyDescent="0.3">
      <c r="A21" s="2">
        <v>254.2</v>
      </c>
      <c r="B21" s="3">
        <v>1</v>
      </c>
    </row>
    <row r="22" spans="1:2" x14ac:dyDescent="0.3">
      <c r="A22" s="2">
        <v>256.39999999999998</v>
      </c>
      <c r="B22" s="3">
        <v>1</v>
      </c>
    </row>
    <row r="23" spans="1:2" x14ac:dyDescent="0.3">
      <c r="A23" s="2">
        <v>267.2</v>
      </c>
      <c r="B23" s="3">
        <v>1</v>
      </c>
    </row>
    <row r="24" spans="1:2" x14ac:dyDescent="0.3">
      <c r="A24" s="2">
        <v>332.6</v>
      </c>
      <c r="B24" s="3">
        <v>1</v>
      </c>
    </row>
    <row r="25" spans="1:2" x14ac:dyDescent="0.3">
      <c r="A25" s="2">
        <v>378.6</v>
      </c>
      <c r="B25" s="3">
        <v>1</v>
      </c>
    </row>
    <row r="26" spans="1:2" x14ac:dyDescent="0.3">
      <c r="A26" s="2">
        <v>417.4</v>
      </c>
      <c r="B26" s="3">
        <v>1</v>
      </c>
    </row>
    <row r="27" spans="1:2" x14ac:dyDescent="0.3">
      <c r="A27" s="2">
        <v>433.1</v>
      </c>
      <c r="B27" s="3">
        <v>1</v>
      </c>
    </row>
    <row r="28" spans="1:2" x14ac:dyDescent="0.3">
      <c r="A28" s="2">
        <v>522.4</v>
      </c>
      <c r="B28" s="3">
        <v>1</v>
      </c>
    </row>
    <row r="29" spans="1:2" x14ac:dyDescent="0.3">
      <c r="A29" s="2">
        <v>560.4</v>
      </c>
      <c r="B29" s="3">
        <v>1</v>
      </c>
    </row>
    <row r="30" spans="1:2" x14ac:dyDescent="0.3">
      <c r="A30" s="2">
        <v>577</v>
      </c>
      <c r="B30" s="3">
        <v>1</v>
      </c>
    </row>
    <row r="31" spans="1:2" x14ac:dyDescent="0.3">
      <c r="A31" s="2">
        <v>581.70000000000005</v>
      </c>
      <c r="B31" s="3">
        <v>1</v>
      </c>
    </row>
    <row r="32" spans="1:2" x14ac:dyDescent="0.3">
      <c r="A32" s="2">
        <v>662.6</v>
      </c>
      <c r="B32" s="3">
        <v>1</v>
      </c>
    </row>
    <row r="33" spans="1:2" x14ac:dyDescent="0.3">
      <c r="A33" s="2">
        <v>668.9</v>
      </c>
      <c r="B33" s="3">
        <v>1</v>
      </c>
    </row>
    <row r="34" spans="1:2" x14ac:dyDescent="0.3">
      <c r="A34" s="2">
        <v>702.7</v>
      </c>
      <c r="B34" s="3">
        <v>1</v>
      </c>
    </row>
    <row r="35" spans="1:2" x14ac:dyDescent="0.3">
      <c r="A35" s="2">
        <v>750.7</v>
      </c>
      <c r="B35" s="3">
        <v>1</v>
      </c>
    </row>
    <row r="36" spans="1:2" x14ac:dyDescent="0.3">
      <c r="A36" s="2">
        <v>771.1</v>
      </c>
      <c r="B36" s="3">
        <v>1</v>
      </c>
    </row>
    <row r="37" spans="1:2" x14ac:dyDescent="0.3">
      <c r="A37" s="2">
        <v>907</v>
      </c>
      <c r="B37" s="3">
        <v>1</v>
      </c>
    </row>
    <row r="38" spans="1:2" x14ac:dyDescent="0.3">
      <c r="A38" s="2">
        <v>952.2</v>
      </c>
      <c r="B38" s="3">
        <v>1</v>
      </c>
    </row>
    <row r="39" spans="1:2" x14ac:dyDescent="0.3">
      <c r="A39" s="2">
        <v>1072.4000000000001</v>
      </c>
      <c r="B39" s="3">
        <v>1</v>
      </c>
    </row>
    <row r="40" spans="1:2" x14ac:dyDescent="0.3">
      <c r="A40" s="2">
        <v>1168.4000000000001</v>
      </c>
      <c r="B40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7"/>
  <sheetViews>
    <sheetView topLeftCell="B10" zoomScale="120" zoomScaleNormal="120" workbookViewId="0">
      <selection activeCell="G25" sqref="G25"/>
    </sheetView>
  </sheetViews>
  <sheetFormatPr defaultRowHeight="14.4" x14ac:dyDescent="0.3"/>
  <cols>
    <col min="2" max="11" width="15.77734375" customWidth="1"/>
  </cols>
  <sheetData>
    <row r="1" spans="1:12" ht="18" thickBot="1" x14ac:dyDescent="0.4">
      <c r="A1" s="14" t="s">
        <v>59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</row>
    <row r="2" spans="1:12" ht="18" thickBot="1" x14ac:dyDescent="0.4">
      <c r="A2" s="14">
        <v>1</v>
      </c>
      <c r="B2" s="14">
        <v>4.8</v>
      </c>
      <c r="C2" s="14">
        <v>4.2</v>
      </c>
      <c r="D2" s="14">
        <v>5.0999999999999996</v>
      </c>
      <c r="E2" s="14">
        <v>5.2</v>
      </c>
      <c r="F2" s="14">
        <v>4.8</v>
      </c>
      <c r="G2" s="14">
        <v>4.7</v>
      </c>
      <c r="H2" s="14">
        <v>4.9000000000000004</v>
      </c>
      <c r="I2" s="14">
        <v>4.5</v>
      </c>
      <c r="J2" s="14">
        <v>4.9000000000000004</v>
      </c>
      <c r="K2" s="14">
        <v>4.5</v>
      </c>
      <c r="L2" s="15">
        <v>4.8</v>
      </c>
    </row>
    <row r="3" spans="1:12" ht="18" thickBot="1" x14ac:dyDescent="0.4">
      <c r="A3" s="14">
        <v>2</v>
      </c>
      <c r="B3" s="14">
        <v>4.9000000000000004</v>
      </c>
      <c r="C3" s="14">
        <v>5.0999999999999996</v>
      </c>
      <c r="D3" s="14">
        <v>4.8</v>
      </c>
      <c r="E3" s="14">
        <v>4.9000000000000004</v>
      </c>
      <c r="F3" s="14">
        <v>4.8</v>
      </c>
      <c r="G3" s="14">
        <v>5</v>
      </c>
      <c r="H3" s="14">
        <v>4.3</v>
      </c>
      <c r="I3" s="14">
        <v>4.9000000000000004</v>
      </c>
      <c r="J3" s="14">
        <v>4.2</v>
      </c>
      <c r="K3" s="14">
        <v>4.2</v>
      </c>
      <c r="L3" s="15">
        <v>5</v>
      </c>
    </row>
    <row r="4" spans="1:12" ht="18" thickBot="1" x14ac:dyDescent="0.4">
      <c r="A4" s="14">
        <v>3</v>
      </c>
      <c r="B4" s="14">
        <v>5.0999999999999996</v>
      </c>
      <c r="C4" s="14">
        <v>4.5999999999999996</v>
      </c>
      <c r="D4" s="14">
        <v>4.9000000000000004</v>
      </c>
      <c r="E4" s="14">
        <v>4.3</v>
      </c>
      <c r="F4" s="14">
        <v>4.9000000000000004</v>
      </c>
      <c r="G4" s="14">
        <v>4.8</v>
      </c>
      <c r="H4" s="14">
        <v>5.2</v>
      </c>
      <c r="I4" s="14">
        <v>4.8</v>
      </c>
      <c r="J4" s="14">
        <v>4.4000000000000004</v>
      </c>
      <c r="K4" s="14">
        <v>5.6</v>
      </c>
      <c r="L4" s="15">
        <v>4.9000000000000004</v>
      </c>
    </row>
    <row r="5" spans="1:12" ht="18" thickBot="1" x14ac:dyDescent="0.4">
      <c r="A5" s="14">
        <v>4</v>
      </c>
      <c r="B5" s="14">
        <v>4.3</v>
      </c>
      <c r="C5" s="14">
        <v>5</v>
      </c>
      <c r="D5" s="14">
        <v>5</v>
      </c>
      <c r="E5" s="14">
        <v>5.0999999999999996</v>
      </c>
      <c r="F5" s="14">
        <v>4.9000000000000004</v>
      </c>
      <c r="G5" s="14">
        <v>5</v>
      </c>
      <c r="H5" s="14">
        <v>4.8</v>
      </c>
      <c r="I5" s="14">
        <v>4.5999999999999996</v>
      </c>
      <c r="J5" s="14">
        <v>4.8</v>
      </c>
      <c r="K5" s="14">
        <v>5.0999999999999996</v>
      </c>
      <c r="L5" s="15">
        <v>4.9000000000000004</v>
      </c>
    </row>
    <row r="6" spans="1:12" ht="18" thickBot="1" x14ac:dyDescent="0.4">
      <c r="A6" s="14">
        <v>5</v>
      </c>
      <c r="B6" s="14">
        <v>4.3</v>
      </c>
      <c r="C6" s="14">
        <v>4.2</v>
      </c>
      <c r="D6" s="14">
        <v>5.0999999999999996</v>
      </c>
      <c r="E6" s="14">
        <v>4.9000000000000004</v>
      </c>
      <c r="F6" s="14">
        <v>4.3</v>
      </c>
      <c r="G6" s="14">
        <v>4.7</v>
      </c>
      <c r="H6" s="14">
        <v>4.7</v>
      </c>
      <c r="I6" s="14">
        <v>5.3</v>
      </c>
      <c r="J6" s="14">
        <v>5.3</v>
      </c>
      <c r="K6" s="14">
        <v>4.4000000000000004</v>
      </c>
      <c r="L6" s="15">
        <v>4.8</v>
      </c>
    </row>
    <row r="7" spans="1:12" ht="18" thickBot="1" x14ac:dyDescent="0.4">
      <c r="A7" s="14">
        <v>6</v>
      </c>
      <c r="B7" s="14">
        <v>4.3</v>
      </c>
      <c r="C7" s="14">
        <v>4.9000000000000004</v>
      </c>
      <c r="D7" s="14">
        <v>5.2</v>
      </c>
      <c r="E7" s="14">
        <v>4.8</v>
      </c>
      <c r="F7" s="14">
        <v>4.9000000000000004</v>
      </c>
      <c r="G7" s="14">
        <v>4.9000000000000004</v>
      </c>
      <c r="H7" s="14">
        <v>4.4000000000000004</v>
      </c>
      <c r="I7" s="14">
        <v>4.5</v>
      </c>
      <c r="J7" s="14">
        <v>4.9000000000000004</v>
      </c>
      <c r="K7" s="14">
        <v>5.0999999999999996</v>
      </c>
      <c r="L7" s="15">
        <v>4.9000000000000004</v>
      </c>
    </row>
    <row r="8" spans="1:12" ht="18" thickBot="1" x14ac:dyDescent="0.4">
      <c r="A8" s="14">
        <v>7</v>
      </c>
      <c r="B8" s="14">
        <v>5.0999999999999996</v>
      </c>
      <c r="C8" s="14">
        <v>4.9000000000000004</v>
      </c>
      <c r="D8" s="14">
        <v>4.9000000000000004</v>
      </c>
      <c r="E8" s="14">
        <v>5.0999999999999996</v>
      </c>
      <c r="F8" s="14">
        <v>4.4000000000000004</v>
      </c>
      <c r="G8" s="14">
        <v>5</v>
      </c>
      <c r="H8" s="14">
        <v>4.8</v>
      </c>
      <c r="I8" s="14">
        <v>4.5999999999999996</v>
      </c>
      <c r="J8" s="14">
        <v>5.2</v>
      </c>
      <c r="K8" s="14">
        <v>5.5</v>
      </c>
      <c r="L8" s="15">
        <v>5</v>
      </c>
    </row>
    <row r="9" spans="1:12" ht="18" thickBot="1" x14ac:dyDescent="0.4">
      <c r="A9" s="14">
        <v>8</v>
      </c>
      <c r="B9" s="14">
        <v>4.9000000000000004</v>
      </c>
      <c r="C9" s="14">
        <v>4.8</v>
      </c>
      <c r="D9" s="14">
        <v>4.2</v>
      </c>
      <c r="E9" s="14">
        <v>4.4000000000000004</v>
      </c>
      <c r="F9" s="14">
        <v>5.0999999999999996</v>
      </c>
      <c r="G9" s="14">
        <v>4.7</v>
      </c>
      <c r="H9" s="14">
        <v>4.3</v>
      </c>
      <c r="I9" s="14">
        <v>4.7</v>
      </c>
      <c r="J9" s="14">
        <v>4.7</v>
      </c>
      <c r="K9" s="14">
        <v>4.4000000000000004</v>
      </c>
      <c r="L9" s="15">
        <v>4.8</v>
      </c>
    </row>
    <row r="10" spans="1:12" ht="18" thickBot="1" x14ac:dyDescent="0.4">
      <c r="A10" s="14">
        <v>9</v>
      </c>
      <c r="B10" s="14">
        <v>5</v>
      </c>
      <c r="C10" s="14">
        <v>5.2</v>
      </c>
      <c r="D10" s="14">
        <v>4.2</v>
      </c>
      <c r="E10" s="14">
        <v>4.9000000000000004</v>
      </c>
      <c r="F10" s="14">
        <v>5.0999999999999996</v>
      </c>
      <c r="G10" s="14">
        <v>4.8</v>
      </c>
      <c r="H10" s="14">
        <v>5.4</v>
      </c>
      <c r="I10" s="14">
        <v>4.5999999999999996</v>
      </c>
      <c r="J10" s="14">
        <v>4.8</v>
      </c>
      <c r="K10" s="14">
        <v>5.2</v>
      </c>
      <c r="L10" s="15">
        <v>4.9000000000000004</v>
      </c>
    </row>
    <row r="11" spans="1:12" ht="18" thickBot="1" x14ac:dyDescent="0.4">
      <c r="A11" s="14">
        <v>10</v>
      </c>
      <c r="B11" s="14">
        <v>4.8</v>
      </c>
      <c r="C11" s="14">
        <v>5.0999999999999996</v>
      </c>
      <c r="D11" s="14">
        <v>4.5999999999999996</v>
      </c>
      <c r="E11" s="14">
        <v>4.8</v>
      </c>
      <c r="F11" s="14">
        <v>5.2</v>
      </c>
      <c r="G11" s="14">
        <v>4.8</v>
      </c>
      <c r="H11" s="14">
        <v>4.9000000000000004</v>
      </c>
      <c r="I11" s="14">
        <v>4.3</v>
      </c>
      <c r="J11" s="14">
        <v>4.3</v>
      </c>
      <c r="K11" s="14">
        <v>4.5</v>
      </c>
      <c r="L11" s="15">
        <v>4.8</v>
      </c>
    </row>
    <row r="12" spans="1:12" ht="18" thickBot="1" x14ac:dyDescent="0.4">
      <c r="A12" s="14">
        <v>11</v>
      </c>
      <c r="B12" s="14">
        <v>4.8</v>
      </c>
      <c r="C12" s="14">
        <v>4.2</v>
      </c>
      <c r="D12" s="14">
        <v>5.0999999999999996</v>
      </c>
      <c r="E12" s="14">
        <v>5.2</v>
      </c>
      <c r="F12" s="14">
        <v>4.8</v>
      </c>
      <c r="G12" s="14">
        <v>4.7</v>
      </c>
      <c r="H12" s="14">
        <v>4.9000000000000004</v>
      </c>
      <c r="I12" s="14">
        <v>5.2</v>
      </c>
      <c r="J12" s="14">
        <v>4.9000000000000004</v>
      </c>
      <c r="K12" s="14">
        <v>4.5</v>
      </c>
      <c r="L12" s="15">
        <v>4.8</v>
      </c>
    </row>
    <row r="13" spans="1:12" ht="18" thickBot="1" x14ac:dyDescent="0.4">
      <c r="A13" s="14">
        <v>12</v>
      </c>
      <c r="B13" s="14">
        <v>4.9000000000000004</v>
      </c>
      <c r="C13" s="14">
        <v>5.0999999999999996</v>
      </c>
      <c r="D13" s="14">
        <v>4.8</v>
      </c>
      <c r="E13" s="14">
        <v>4.9000000000000004</v>
      </c>
      <c r="F13" s="14">
        <v>4.8</v>
      </c>
      <c r="G13" s="14">
        <v>5</v>
      </c>
      <c r="H13" s="14">
        <v>5.3</v>
      </c>
      <c r="I13" s="14">
        <v>4.5</v>
      </c>
      <c r="J13" s="14">
        <v>5.5</v>
      </c>
      <c r="K13" s="14">
        <v>5.2</v>
      </c>
      <c r="L13" s="15">
        <v>5</v>
      </c>
    </row>
    <row r="14" spans="1:12" ht="18" thickBot="1" x14ac:dyDescent="0.4">
      <c r="A14" s="14">
        <v>13</v>
      </c>
      <c r="B14" s="14">
        <v>5.0999999999999996</v>
      </c>
      <c r="C14" s="14">
        <v>4.5999999999999996</v>
      </c>
      <c r="D14" s="14">
        <v>4.9000000000000004</v>
      </c>
      <c r="E14" s="14">
        <v>4.3</v>
      </c>
      <c r="F14" s="14">
        <v>4.9000000000000004</v>
      </c>
      <c r="G14" s="14">
        <v>4.9000000000000004</v>
      </c>
      <c r="H14" s="14">
        <v>5.2</v>
      </c>
      <c r="I14" s="14">
        <v>5</v>
      </c>
      <c r="J14" s="14">
        <v>4.4000000000000004</v>
      </c>
      <c r="K14" s="14">
        <v>5.6</v>
      </c>
      <c r="L14" s="15">
        <v>4.9000000000000004</v>
      </c>
    </row>
    <row r="15" spans="1:12" ht="18" thickBot="1" x14ac:dyDescent="0.4">
      <c r="A15" s="14">
        <v>14</v>
      </c>
      <c r="B15" s="14">
        <v>5</v>
      </c>
      <c r="C15" s="14">
        <v>5</v>
      </c>
      <c r="D15" s="14">
        <v>5</v>
      </c>
      <c r="E15" s="14">
        <v>5.0999999999999996</v>
      </c>
      <c r="F15" s="14">
        <v>4.9000000000000004</v>
      </c>
      <c r="G15" s="14">
        <v>5</v>
      </c>
      <c r="H15" s="14">
        <v>4.8</v>
      </c>
      <c r="I15" s="14">
        <v>5</v>
      </c>
      <c r="J15" s="14">
        <v>4.8</v>
      </c>
      <c r="K15" s="14">
        <v>5.0999999999999996</v>
      </c>
      <c r="L15" s="15">
        <v>5</v>
      </c>
    </row>
    <row r="16" spans="1:12" ht="18" thickBot="1" x14ac:dyDescent="0.4">
      <c r="A16" s="14">
        <v>15</v>
      </c>
      <c r="B16" s="14">
        <v>4.5</v>
      </c>
      <c r="C16" s="14">
        <v>4.2</v>
      </c>
      <c r="D16" s="14">
        <v>5.0999999999999996</v>
      </c>
      <c r="E16" s="14">
        <v>4.9000000000000004</v>
      </c>
      <c r="F16" s="14">
        <v>4.3</v>
      </c>
      <c r="G16" s="14">
        <v>4.7</v>
      </c>
      <c r="H16" s="14">
        <v>4.7</v>
      </c>
      <c r="I16" s="14">
        <v>4.8</v>
      </c>
      <c r="J16" s="14">
        <v>5.3</v>
      </c>
      <c r="K16" s="14">
        <v>4.4000000000000004</v>
      </c>
      <c r="L16" s="15">
        <v>4.8</v>
      </c>
    </row>
    <row r="17" spans="1:12" ht="18" thickBot="1" x14ac:dyDescent="0.4">
      <c r="A17" s="14">
        <v>16</v>
      </c>
      <c r="B17" s="14">
        <v>4.3</v>
      </c>
      <c r="C17" s="14">
        <v>4.9000000000000004</v>
      </c>
      <c r="D17" s="14">
        <v>5.2</v>
      </c>
      <c r="E17" s="14">
        <v>4.8</v>
      </c>
      <c r="F17" s="14">
        <v>4.9000000000000004</v>
      </c>
      <c r="G17" s="14">
        <v>4.9000000000000004</v>
      </c>
      <c r="H17" s="14">
        <v>4.4000000000000004</v>
      </c>
      <c r="I17" s="14">
        <v>5</v>
      </c>
      <c r="J17" s="14">
        <v>4.8</v>
      </c>
      <c r="K17" s="14">
        <v>4.5999999999999996</v>
      </c>
      <c r="L17" s="15">
        <v>4.9000000000000004</v>
      </c>
    </row>
    <row r="18" spans="1:12" ht="18" thickBot="1" x14ac:dyDescent="0.4">
      <c r="A18" s="14">
        <v>17</v>
      </c>
      <c r="B18" s="14">
        <v>5.0999999999999996</v>
      </c>
      <c r="C18" s="14">
        <v>4.9000000000000004</v>
      </c>
      <c r="D18" s="14">
        <v>4.9000000000000004</v>
      </c>
      <c r="E18" s="14">
        <v>4.9000000000000004</v>
      </c>
      <c r="F18" s="14">
        <v>5.2</v>
      </c>
      <c r="G18" s="14">
        <v>5</v>
      </c>
      <c r="H18" s="14">
        <v>4.8</v>
      </c>
      <c r="I18" s="14">
        <v>4.7</v>
      </c>
      <c r="J18" s="14">
        <v>5.2</v>
      </c>
      <c r="K18" s="14">
        <v>5.5</v>
      </c>
      <c r="L18" s="15">
        <v>5</v>
      </c>
    </row>
    <row r="19" spans="1:12" ht="18" thickBot="1" x14ac:dyDescent="0.4">
      <c r="A19" s="14">
        <v>18</v>
      </c>
      <c r="B19" s="14">
        <v>4.9000000000000004</v>
      </c>
      <c r="C19" s="14">
        <v>4.8</v>
      </c>
      <c r="D19" s="14">
        <v>4.2</v>
      </c>
      <c r="E19" s="14">
        <v>4.3</v>
      </c>
      <c r="F19" s="14">
        <v>5.0999999999999996</v>
      </c>
      <c r="G19" s="14">
        <v>4.8</v>
      </c>
      <c r="H19" s="14">
        <v>4.2</v>
      </c>
      <c r="I19" s="14">
        <v>4.5999999999999996</v>
      </c>
      <c r="J19" s="14">
        <v>4.7</v>
      </c>
      <c r="K19" s="14">
        <v>4.2</v>
      </c>
      <c r="L19" s="15">
        <v>4.9000000000000004</v>
      </c>
    </row>
    <row r="20" spans="1:12" ht="18" thickBot="1" x14ac:dyDescent="0.4">
      <c r="A20" s="14">
        <v>19</v>
      </c>
      <c r="B20" s="14">
        <v>5</v>
      </c>
      <c r="C20" s="14">
        <v>5.2</v>
      </c>
      <c r="D20" s="14">
        <v>4.2</v>
      </c>
      <c r="E20" s="14">
        <v>4.9000000000000004</v>
      </c>
      <c r="F20" s="14">
        <v>5.0999999999999996</v>
      </c>
      <c r="G20" s="14">
        <v>5</v>
      </c>
      <c r="H20" s="14">
        <v>5.4</v>
      </c>
      <c r="I20" s="14">
        <v>5.2</v>
      </c>
      <c r="J20" s="14">
        <v>4.8</v>
      </c>
      <c r="K20" s="14">
        <v>4.5</v>
      </c>
      <c r="L20" s="15">
        <v>5</v>
      </c>
    </row>
    <row r="21" spans="1:12" ht="18" thickBot="1" x14ac:dyDescent="0.4">
      <c r="A21" s="76">
        <v>20</v>
      </c>
      <c r="B21" s="76">
        <v>4.8</v>
      </c>
      <c r="C21" s="76">
        <v>5.0999999999999996</v>
      </c>
      <c r="D21" s="76">
        <v>4.5999999999999996</v>
      </c>
      <c r="E21" s="76">
        <v>4.8</v>
      </c>
      <c r="F21" s="76">
        <v>4.3</v>
      </c>
      <c r="G21" s="76">
        <v>4.8</v>
      </c>
      <c r="H21" s="76">
        <v>4.9000000000000004</v>
      </c>
      <c r="I21" s="76">
        <v>4.5999999999999996</v>
      </c>
      <c r="J21" s="76">
        <v>4.3</v>
      </c>
      <c r="K21" s="76">
        <v>4.5</v>
      </c>
      <c r="L21" s="15">
        <v>4.9000000000000004</v>
      </c>
    </row>
    <row r="22" spans="1:12" ht="21" x14ac:dyDescent="0.4">
      <c r="A22" s="4" t="s">
        <v>218</v>
      </c>
      <c r="B22" s="77">
        <f>AVERAGE(B2:B21)</f>
        <v>4.794999999999999</v>
      </c>
      <c r="C22" s="77">
        <f t="shared" ref="C22:K22" si="0">AVERAGE(C2:C21)</f>
        <v>4.8000000000000007</v>
      </c>
      <c r="D22" s="77">
        <f t="shared" si="0"/>
        <v>4.8000000000000007</v>
      </c>
      <c r="E22" s="77">
        <f t="shared" si="0"/>
        <v>4.8250000000000002</v>
      </c>
      <c r="F22" s="77">
        <f t="shared" si="0"/>
        <v>4.8349999999999991</v>
      </c>
      <c r="G22" s="77">
        <f t="shared" si="0"/>
        <v>4.8600000000000003</v>
      </c>
      <c r="H22" s="77">
        <f t="shared" si="0"/>
        <v>4.8150000000000004</v>
      </c>
      <c r="I22" s="77">
        <f t="shared" si="0"/>
        <v>4.7699999999999996</v>
      </c>
      <c r="J22" s="77">
        <f t="shared" si="0"/>
        <v>4.8099999999999996</v>
      </c>
      <c r="K22" s="77">
        <f t="shared" si="0"/>
        <v>4.83</v>
      </c>
    </row>
    <row r="23" spans="1:12" ht="21" x14ac:dyDescent="0.4">
      <c r="A23" s="4" t="s">
        <v>219</v>
      </c>
      <c r="B23" s="77">
        <f>_xlfn.STDEV.S(B2:B21)</f>
        <v>0.29105072807981341</v>
      </c>
      <c r="C23" s="77">
        <f t="shared" ref="C23:K23" si="1">_xlfn.STDEV.S(C2:C21)</f>
        <v>0.34943563521469118</v>
      </c>
      <c r="D23" s="77">
        <f t="shared" si="1"/>
        <v>0.34943563521469118</v>
      </c>
      <c r="E23" s="77">
        <f t="shared" si="1"/>
        <v>0.28631046821680539</v>
      </c>
      <c r="F23" s="77">
        <f t="shared" si="1"/>
        <v>0.29249381459946694</v>
      </c>
      <c r="G23" s="77">
        <f t="shared" si="1"/>
        <v>0.12311740225021846</v>
      </c>
      <c r="H23" s="77">
        <f t="shared" si="1"/>
        <v>0.36458339598996964</v>
      </c>
      <c r="I23" s="77">
        <f t="shared" si="1"/>
        <v>0.27357285183869751</v>
      </c>
      <c r="J23" s="77">
        <f t="shared" si="1"/>
        <v>0.36548453779663659</v>
      </c>
      <c r="K23" s="77">
        <f t="shared" si="1"/>
        <v>0.48785243670601863</v>
      </c>
    </row>
    <row r="24" spans="1:12" ht="21" x14ac:dyDescent="0.4">
      <c r="A24" s="75" t="s">
        <v>220</v>
      </c>
      <c r="B24" s="78">
        <f>B23/B22</f>
        <v>6.0698796262734819E-2</v>
      </c>
      <c r="C24" s="78">
        <f t="shared" ref="C24:K24" si="2">C23/C22</f>
        <v>7.2799090669727312E-2</v>
      </c>
      <c r="D24" s="78">
        <f t="shared" si="2"/>
        <v>7.2799090669727312E-2</v>
      </c>
      <c r="E24" s="78">
        <f t="shared" si="2"/>
        <v>5.9338957143379355E-2</v>
      </c>
      <c r="F24" s="78">
        <f t="shared" si="2"/>
        <v>6.049510126152368E-2</v>
      </c>
      <c r="G24" s="79">
        <f t="shared" si="2"/>
        <v>2.5332798816917378E-2</v>
      </c>
      <c r="H24" s="78">
        <f t="shared" si="2"/>
        <v>7.5718254618892963E-2</v>
      </c>
      <c r="I24" s="78">
        <f t="shared" si="2"/>
        <v>5.7352799127609544E-2</v>
      </c>
      <c r="J24" s="78">
        <f t="shared" si="2"/>
        <v>7.5984311392232148E-2</v>
      </c>
      <c r="K24" s="78">
        <f t="shared" si="2"/>
        <v>0.10100464528074919</v>
      </c>
    </row>
    <row r="25" spans="1:12" ht="23.4" x14ac:dyDescent="0.45">
      <c r="B25" s="80">
        <f>CORREL(B2:B21,$L$2:$L$21)</f>
        <v>0.4323321049610056</v>
      </c>
      <c r="C25" s="80">
        <f t="shared" ref="C25:K25" si="3">CORREL(C2:C21,$L$2:$L$21)</f>
        <v>0.66333578813154115</v>
      </c>
      <c r="D25" s="80">
        <f t="shared" si="3"/>
        <v>-0.1137147065368353</v>
      </c>
      <c r="E25" s="80">
        <f t="shared" si="3"/>
        <v>9.2524200411843532E-2</v>
      </c>
      <c r="F25" s="80">
        <f t="shared" si="3"/>
        <v>0.15849440290133637</v>
      </c>
      <c r="G25" s="81">
        <f t="shared" si="3"/>
        <v>0.91445440118786214</v>
      </c>
      <c r="H25" s="80">
        <f t="shared" si="3"/>
        <v>0.18165012060799962</v>
      </c>
      <c r="I25" s="80">
        <f t="shared" si="3"/>
        <v>2.4208037240588245E-2</v>
      </c>
      <c r="J25" s="80">
        <f t="shared" si="3"/>
        <v>5.4360672754452388E-2</v>
      </c>
      <c r="K25" s="80">
        <f t="shared" si="3"/>
        <v>0.44797939391543945</v>
      </c>
    </row>
    <row r="26" spans="1:12" ht="15" thickBot="1" x14ac:dyDescent="0.35"/>
    <row r="27" spans="1:12" ht="18" thickBot="1" x14ac:dyDescent="0.4">
      <c r="B27" s="14" t="s">
        <v>16</v>
      </c>
      <c r="C27" s="14" t="s">
        <v>17</v>
      </c>
      <c r="D27" s="14" t="s">
        <v>18</v>
      </c>
      <c r="E27" s="14" t="s">
        <v>19</v>
      </c>
      <c r="F27" s="14" t="s">
        <v>20</v>
      </c>
      <c r="G27" s="14" t="s">
        <v>21</v>
      </c>
      <c r="H27" s="14" t="s">
        <v>22</v>
      </c>
      <c r="I27" s="14" t="s">
        <v>23</v>
      </c>
      <c r="J27" s="14" t="s">
        <v>24</v>
      </c>
      <c r="K27" s="14" t="s">
        <v>25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667B-39F6-4853-89D0-07B8587D409D}">
  <dimension ref="A1:G7"/>
  <sheetViews>
    <sheetView zoomScale="250" zoomScaleNormal="250" workbookViewId="0">
      <selection activeCell="H6" sqref="H6"/>
    </sheetView>
  </sheetViews>
  <sheetFormatPr defaultRowHeight="14.4" x14ac:dyDescent="0.3"/>
  <sheetData>
    <row r="1" spans="1:7" x14ac:dyDescent="0.3">
      <c r="A1" s="73"/>
      <c r="B1" s="73" t="s">
        <v>10</v>
      </c>
      <c r="C1" s="73" t="s">
        <v>11</v>
      </c>
      <c r="D1" s="73" t="s">
        <v>12</v>
      </c>
      <c r="E1" s="73" t="s">
        <v>14</v>
      </c>
      <c r="F1" s="73" t="s">
        <v>13</v>
      </c>
      <c r="G1" s="73" t="s">
        <v>15</v>
      </c>
    </row>
    <row r="2" spans="1:7" x14ac:dyDescent="0.3">
      <c r="A2" t="s">
        <v>10</v>
      </c>
      <c r="B2">
        <v>1</v>
      </c>
    </row>
    <row r="3" spans="1:7" x14ac:dyDescent="0.3">
      <c r="A3" t="s">
        <v>11</v>
      </c>
      <c r="B3">
        <v>6.1902100183996812E-2</v>
      </c>
      <c r="C3">
        <v>1</v>
      </c>
    </row>
    <row r="4" spans="1:7" x14ac:dyDescent="0.3">
      <c r="A4" t="s">
        <v>12</v>
      </c>
      <c r="B4">
        <v>-0.3083782590879437</v>
      </c>
      <c r="C4">
        <v>0.5489101716793765</v>
      </c>
      <c r="D4">
        <v>1</v>
      </c>
    </row>
    <row r="5" spans="1:7" x14ac:dyDescent="0.3">
      <c r="A5" t="s">
        <v>14</v>
      </c>
      <c r="B5">
        <v>0.18321471052016391</v>
      </c>
      <c r="C5">
        <v>0.20164444969679782</v>
      </c>
      <c r="D5">
        <v>0.15210590677639116</v>
      </c>
      <c r="E5">
        <v>1</v>
      </c>
    </row>
    <row r="6" spans="1:7" x14ac:dyDescent="0.3">
      <c r="A6" t="s">
        <v>13</v>
      </c>
      <c r="B6">
        <v>-8.5159927221946222E-2</v>
      </c>
      <c r="C6">
        <v>0.73656120843133221</v>
      </c>
      <c r="D6">
        <v>0.64665916757582642</v>
      </c>
      <c r="E6">
        <v>0.17976051106164959</v>
      </c>
      <c r="F6">
        <v>1</v>
      </c>
    </row>
    <row r="7" spans="1:7" ht="15" thickBot="1" x14ac:dyDescent="0.35">
      <c r="A7" s="72" t="s">
        <v>15</v>
      </c>
      <c r="B7" s="72">
        <v>2.8441306211204921E-2</v>
      </c>
      <c r="C7" s="72">
        <v>0.70732432372010534</v>
      </c>
      <c r="D7" s="72">
        <v>0.54870219255763164</v>
      </c>
      <c r="E7" s="72">
        <v>-4.7040473065605076E-2</v>
      </c>
      <c r="F7" s="72">
        <v>0.79004713478485067</v>
      </c>
      <c r="G7" s="72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F28D-C155-4254-83E3-F728B21B107F}">
  <dimension ref="A1:I22"/>
  <sheetViews>
    <sheetView topLeftCell="A3" zoomScale="140" zoomScaleNormal="140" workbookViewId="0">
      <selection activeCell="J8" sqref="J8"/>
    </sheetView>
  </sheetViews>
  <sheetFormatPr defaultRowHeight="14.4" x14ac:dyDescent="0.3"/>
  <cols>
    <col min="1" max="1" width="19.33203125" customWidth="1"/>
  </cols>
  <sheetData>
    <row r="1" spans="1:9" x14ac:dyDescent="0.3">
      <c r="A1" t="s">
        <v>194</v>
      </c>
    </row>
    <row r="2" spans="1:9" ht="15" thickBot="1" x14ac:dyDescent="0.35"/>
    <row r="3" spans="1:9" x14ac:dyDescent="0.3">
      <c r="A3" s="74" t="s">
        <v>195</v>
      </c>
      <c r="B3" s="74"/>
    </row>
    <row r="4" spans="1:9" x14ac:dyDescent="0.3">
      <c r="A4" t="s">
        <v>196</v>
      </c>
      <c r="B4">
        <v>0.84888115665795882</v>
      </c>
    </row>
    <row r="5" spans="1:9" x14ac:dyDescent="0.3">
      <c r="A5" t="s">
        <v>197</v>
      </c>
      <c r="B5">
        <v>0.72059921812895411</v>
      </c>
    </row>
    <row r="6" spans="1:9" x14ac:dyDescent="0.3">
      <c r="A6" t="s">
        <v>198</v>
      </c>
      <c r="B6">
        <v>0.67694284596160315</v>
      </c>
    </row>
    <row r="7" spans="1:9" x14ac:dyDescent="0.3">
      <c r="A7" t="s">
        <v>199</v>
      </c>
      <c r="B7">
        <v>1.1625404007319744</v>
      </c>
    </row>
    <row r="8" spans="1:9" ht="15" thickBot="1" x14ac:dyDescent="0.35">
      <c r="A8" s="72" t="s">
        <v>200</v>
      </c>
      <c r="B8" s="72">
        <v>38</v>
      </c>
    </row>
    <row r="10" spans="1:9" ht="15" thickBot="1" x14ac:dyDescent="0.35">
      <c r="A10" t="s">
        <v>201</v>
      </c>
    </row>
    <row r="11" spans="1:9" x14ac:dyDescent="0.3">
      <c r="A11" s="73"/>
      <c r="B11" s="73" t="s">
        <v>206</v>
      </c>
      <c r="C11" s="73" t="s">
        <v>207</v>
      </c>
      <c r="D11" s="73" t="s">
        <v>208</v>
      </c>
      <c r="E11" s="73" t="s">
        <v>98</v>
      </c>
      <c r="F11" s="73" t="s">
        <v>209</v>
      </c>
    </row>
    <row r="12" spans="1:9" x14ac:dyDescent="0.3">
      <c r="A12" t="s">
        <v>202</v>
      </c>
      <c r="B12">
        <v>5</v>
      </c>
      <c r="C12">
        <v>111.54041518594164</v>
      </c>
      <c r="D12">
        <v>22.308083037188329</v>
      </c>
      <c r="E12">
        <v>16.506163530185987</v>
      </c>
      <c r="F12">
        <v>4.7030397435205683E-8</v>
      </c>
    </row>
    <row r="13" spans="1:9" x14ac:dyDescent="0.3">
      <c r="A13" t="s">
        <v>203</v>
      </c>
      <c r="B13">
        <v>32</v>
      </c>
      <c r="C13">
        <v>43.248005866689908</v>
      </c>
      <c r="D13">
        <v>1.3515001833340596</v>
      </c>
    </row>
    <row r="14" spans="1:9" ht="15" thickBot="1" x14ac:dyDescent="0.35">
      <c r="A14" s="72" t="s">
        <v>204</v>
      </c>
      <c r="B14" s="72">
        <v>37</v>
      </c>
      <c r="C14" s="72">
        <v>154.78842105263155</v>
      </c>
      <c r="D14" s="72"/>
      <c r="E14" s="72"/>
      <c r="F14" s="72"/>
    </row>
    <row r="15" spans="1:9" ht="15" thickBot="1" x14ac:dyDescent="0.35"/>
    <row r="16" spans="1:9" x14ac:dyDescent="0.3">
      <c r="A16" s="73"/>
      <c r="B16" s="73" t="s">
        <v>210</v>
      </c>
      <c r="C16" s="73" t="s">
        <v>199</v>
      </c>
      <c r="D16" s="73" t="s">
        <v>211</v>
      </c>
      <c r="E16" s="73" t="s">
        <v>212</v>
      </c>
      <c r="F16" s="73" t="s">
        <v>213</v>
      </c>
      <c r="G16" s="73" t="s">
        <v>214</v>
      </c>
      <c r="H16" s="73" t="s">
        <v>215</v>
      </c>
      <c r="I16" s="73" t="s">
        <v>216</v>
      </c>
    </row>
    <row r="17" spans="1:9" x14ac:dyDescent="0.3">
      <c r="A17" t="s">
        <v>205</v>
      </c>
      <c r="B17">
        <v>3.9968648037197125</v>
      </c>
      <c r="C17">
        <v>2.2317700643618688</v>
      </c>
      <c r="D17">
        <v>1.7908945314501019</v>
      </c>
      <c r="E17">
        <v>8.2774540155079582E-2</v>
      </c>
      <c r="F17">
        <v>-0.54910205531507383</v>
      </c>
      <c r="G17">
        <v>8.542831662754498</v>
      </c>
      <c r="H17">
        <v>-0.54910205531507383</v>
      </c>
      <c r="I17">
        <v>8.542831662754498</v>
      </c>
    </row>
    <row r="18" spans="1:9" x14ac:dyDescent="0.3">
      <c r="A18" t="s">
        <v>10</v>
      </c>
      <c r="B18">
        <v>2.3394535086678716</v>
      </c>
      <c r="C18">
        <v>1.7348271092534744</v>
      </c>
      <c r="D18">
        <v>1.3485225681506547</v>
      </c>
      <c r="E18">
        <v>0.18695781445610674</v>
      </c>
      <c r="F18">
        <v>-1.1942736753090299</v>
      </c>
      <c r="G18">
        <v>5.8731806926447732</v>
      </c>
      <c r="H18">
        <v>-1.1942736753090299</v>
      </c>
      <c r="I18">
        <v>5.8731806926447732</v>
      </c>
    </row>
    <row r="19" spans="1:9" x14ac:dyDescent="0.3">
      <c r="A19" t="s">
        <v>11</v>
      </c>
      <c r="B19">
        <v>0.48255052529517167</v>
      </c>
      <c r="C19">
        <v>0.27244727641229211</v>
      </c>
      <c r="D19">
        <v>1.7711703036624677</v>
      </c>
      <c r="E19">
        <v>8.6057529241306843E-2</v>
      </c>
      <c r="F19">
        <v>-7.2406416363916815E-2</v>
      </c>
      <c r="G19">
        <v>1.0375074669542601</v>
      </c>
      <c r="H19">
        <v>-7.2406416363916815E-2</v>
      </c>
      <c r="I19">
        <v>1.0375074669542601</v>
      </c>
    </row>
    <row r="20" spans="1:9" x14ac:dyDescent="0.3">
      <c r="A20" t="s">
        <v>12</v>
      </c>
      <c r="B20">
        <v>0.27316117840968923</v>
      </c>
      <c r="C20">
        <v>0.33256061265245018</v>
      </c>
      <c r="D20">
        <v>0.82138764488975236</v>
      </c>
      <c r="E20">
        <v>0.41750330035477046</v>
      </c>
      <c r="F20">
        <v>-0.40424262222360574</v>
      </c>
      <c r="G20">
        <v>0.9505649790429842</v>
      </c>
      <c r="H20">
        <v>-0.40424262222360574</v>
      </c>
      <c r="I20">
        <v>0.9505649790429842</v>
      </c>
    </row>
    <row r="21" spans="1:9" x14ac:dyDescent="0.3">
      <c r="A21" t="s">
        <v>14</v>
      </c>
      <c r="B21">
        <v>-0.68401016473527221</v>
      </c>
      <c r="C21">
        <v>0.27119275823854894</v>
      </c>
      <c r="D21">
        <v>-2.5222287246092212</v>
      </c>
      <c r="E21">
        <v>1.6832718979979715E-2</v>
      </c>
      <c r="F21">
        <v>-1.2364117364962866</v>
      </c>
      <c r="G21">
        <v>-0.13160859297425787</v>
      </c>
      <c r="H21">
        <v>-1.2364117364962866</v>
      </c>
      <c r="I21">
        <v>-0.13160859297425787</v>
      </c>
    </row>
    <row r="22" spans="1:9" ht="15" thickBot="1" x14ac:dyDescent="0.35">
      <c r="A22" s="72" t="s">
        <v>13</v>
      </c>
      <c r="B22" s="72">
        <v>1.1683237661468373</v>
      </c>
      <c r="C22" s="72">
        <v>0.3044807302682459</v>
      </c>
      <c r="D22" s="72">
        <v>3.8371024830292226</v>
      </c>
      <c r="E22" s="72">
        <v>5.5223337799500526E-4</v>
      </c>
      <c r="F22" s="72">
        <v>0.54811681422236591</v>
      </c>
      <c r="G22" s="72">
        <v>1.7885307180713088</v>
      </c>
      <c r="H22" s="72">
        <v>0.54811681422236591</v>
      </c>
      <c r="I22" s="72">
        <v>1.7885307180713088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52"/>
  <sheetViews>
    <sheetView topLeftCell="G1" zoomScale="170" zoomScaleNormal="170" workbookViewId="0">
      <selection activeCell="K1" sqref="K1"/>
    </sheetView>
  </sheetViews>
  <sheetFormatPr defaultRowHeight="14.4" x14ac:dyDescent="0.3"/>
  <cols>
    <col min="2" max="2" width="11.44140625" bestFit="1" customWidth="1"/>
    <col min="7" max="7" width="13.5546875" bestFit="1" customWidth="1"/>
    <col min="8" max="8" width="12.109375" bestFit="1" customWidth="1"/>
  </cols>
  <sheetData>
    <row r="1" spans="1:24" ht="15" thickBot="1" x14ac:dyDescent="0.35">
      <c r="A1" s="8"/>
      <c r="B1" s="9" t="s">
        <v>4</v>
      </c>
      <c r="C1" s="63" t="s">
        <v>5</v>
      </c>
      <c r="D1" s="9" t="s">
        <v>6</v>
      </c>
      <c r="E1" s="9" t="s">
        <v>7</v>
      </c>
      <c r="F1" s="61" t="s">
        <v>36</v>
      </c>
      <c r="G1" s="61" t="s">
        <v>8</v>
      </c>
      <c r="K1" s="67" t="s">
        <v>188</v>
      </c>
      <c r="M1" s="67" t="s">
        <v>190</v>
      </c>
      <c r="O1" s="67" t="s">
        <v>191</v>
      </c>
      <c r="Q1" s="67" t="s">
        <v>192</v>
      </c>
      <c r="S1" s="67" t="s">
        <v>193</v>
      </c>
      <c r="U1" s="67" t="s">
        <v>217</v>
      </c>
    </row>
    <row r="2" spans="1:24" ht="15" thickBot="1" x14ac:dyDescent="0.35">
      <c r="A2" s="10" t="s">
        <v>9</v>
      </c>
      <c r="B2" s="11" t="s">
        <v>10</v>
      </c>
      <c r="C2" s="64" t="s">
        <v>11</v>
      </c>
      <c r="D2" s="11" t="s">
        <v>12</v>
      </c>
      <c r="E2" s="11" t="s">
        <v>14</v>
      </c>
      <c r="F2" s="62" t="s">
        <v>13</v>
      </c>
      <c r="G2" s="62" t="s">
        <v>15</v>
      </c>
      <c r="H2" s="18" t="s">
        <v>27</v>
      </c>
      <c r="I2" s="18" t="s">
        <v>5</v>
      </c>
      <c r="J2" s="18" t="s">
        <v>28</v>
      </c>
      <c r="K2" s="18" t="s">
        <v>187</v>
      </c>
      <c r="L2" s="18" t="s">
        <v>189</v>
      </c>
      <c r="M2" s="18" t="s">
        <v>187</v>
      </c>
      <c r="N2" s="18" t="s">
        <v>189</v>
      </c>
      <c r="O2" s="18" t="s">
        <v>187</v>
      </c>
      <c r="P2" s="18" t="s">
        <v>189</v>
      </c>
      <c r="Q2" s="18" t="s">
        <v>187</v>
      </c>
      <c r="R2" s="18" t="s">
        <v>189</v>
      </c>
      <c r="S2" s="18" t="s">
        <v>187</v>
      </c>
      <c r="T2" s="18" t="s">
        <v>189</v>
      </c>
      <c r="U2" s="18" t="s">
        <v>187</v>
      </c>
      <c r="V2" s="18" t="s">
        <v>189</v>
      </c>
    </row>
    <row r="3" spans="1:24" ht="16.2" thickBot="1" x14ac:dyDescent="0.35">
      <c r="A3" s="10">
        <v>1</v>
      </c>
      <c r="B3" s="12">
        <v>1</v>
      </c>
      <c r="C3" s="12">
        <v>3.3</v>
      </c>
      <c r="D3" s="12">
        <v>2.8</v>
      </c>
      <c r="E3" s="12">
        <v>4.0999999999999996</v>
      </c>
      <c r="F3" s="12">
        <v>3.1</v>
      </c>
      <c r="G3" s="26">
        <v>9.8000000000000007</v>
      </c>
      <c r="H3">
        <f>F3*G3</f>
        <v>30.380000000000003</v>
      </c>
      <c r="I3">
        <f>F3^2</f>
        <v>9.6100000000000012</v>
      </c>
      <c r="J3">
        <f>G3^2</f>
        <v>96.04000000000002</v>
      </c>
      <c r="K3" s="5">
        <f>$G$52+$G$51*F3</f>
        <v>9.8142676393786843</v>
      </c>
      <c r="L3" s="65">
        <f>ABS(G3-K3)/G3</f>
        <v>1.4558815692534267E-3</v>
      </c>
      <c r="M3" s="68">
        <f xml:space="preserve"> 4.9115*F3^0.595</f>
        <v>9.6288485583187811</v>
      </c>
      <c r="N3" s="65">
        <f>ABS(G3-M3)/G3</f>
        <v>1.746443282461425E-2</v>
      </c>
      <c r="O3" s="70">
        <f xml:space="preserve"> 0.0392*F3^2+ 1.1968*F3 + 5.799</f>
        <v>9.8857920000000021</v>
      </c>
      <c r="P3" s="69">
        <f>ABS(G3-O3)/G3</f>
        <v>8.7542857142858584E-3</v>
      </c>
      <c r="Q3" s="71">
        <f xml:space="preserve"> 6.5926*EXP(0.1302*F3)</f>
        <v>9.8706707330849479</v>
      </c>
      <c r="R3" s="69">
        <f>ABS(G3-Q3)/G3</f>
        <v>7.2112992943823666E-3</v>
      </c>
      <c r="S3" s="71">
        <f xml:space="preserve"> 7.0957*LN(F3) + 1.5228</f>
        <v>9.5508899625074033</v>
      </c>
      <c r="T3" s="69">
        <f>ABS(G3-S3)/G3</f>
        <v>2.5419391580877287E-2</v>
      </c>
      <c r="U3">
        <f>$X$3+$X$4*B3+C3*$X$5+$X$6*D3+E3*$X$7+$X$8*F3</f>
        <v>9.5109483450493606</v>
      </c>
      <c r="V3" s="69">
        <f>ABS(G3-U3)/G3</f>
        <v>2.9495066831697968E-2</v>
      </c>
      <c r="W3" t="s">
        <v>205</v>
      </c>
      <c r="X3">
        <v>3.9968648037197125</v>
      </c>
    </row>
    <row r="4" spans="1:24" ht="16.2" thickBot="1" x14ac:dyDescent="0.35">
      <c r="A4" s="10">
        <v>2</v>
      </c>
      <c r="B4" s="12">
        <v>1</v>
      </c>
      <c r="C4" s="12">
        <v>4.4000000000000004</v>
      </c>
      <c r="D4" s="12">
        <v>4.9000000000000004</v>
      </c>
      <c r="E4" s="12">
        <v>3.9</v>
      </c>
      <c r="F4" s="12">
        <v>3.5</v>
      </c>
      <c r="G4" s="26">
        <v>12.6</v>
      </c>
      <c r="H4">
        <f t="shared" ref="H4:H40" si="0">F4*G4</f>
        <v>44.1</v>
      </c>
      <c r="I4">
        <f t="shared" ref="I4:I40" si="1">F4^2</f>
        <v>12.25</v>
      </c>
      <c r="J4">
        <f t="shared" ref="J4:J40" si="2">G4^2</f>
        <v>158.76</v>
      </c>
      <c r="K4" s="5">
        <f>$G$52+$G$51*F4</f>
        <v>10.443023662745309</v>
      </c>
      <c r="L4" s="65">
        <f>ABS(G4-K4)/G4</f>
        <v>0.17118859819481669</v>
      </c>
      <c r="M4" s="68">
        <f xml:space="preserve"> 4.9115*F4^0.595</f>
        <v>10.349863801894324</v>
      </c>
      <c r="N4" s="65">
        <f>ABS(G4-M4)/G4</f>
        <v>0.17858223794489486</v>
      </c>
      <c r="O4" s="70">
        <f t="shared" ref="O4:O40" si="3" xml:space="preserve"> 0.0392*F4^2+ 1.1968*F4 + 5.799</f>
        <v>10.468</v>
      </c>
      <c r="P4" s="69">
        <f t="shared" ref="P4:P40" si="4">ABS(G4-O4)/G4</f>
        <v>0.16920634920634919</v>
      </c>
      <c r="Q4" s="71">
        <f t="shared" ref="Q4:Q40" si="5" xml:space="preserve"> 6.5926*EXP(0.1302*F4)</f>
        <v>10.398356947850269</v>
      </c>
      <c r="R4" s="69">
        <f t="shared" ref="R4:R40" si="6">ABS(G4-Q4)/G4</f>
        <v>0.17473357556743893</v>
      </c>
      <c r="S4" s="71">
        <f t="shared" ref="S4:S40" si="7" xml:space="preserve"> 7.0957*LN(F4) + 1.5228</f>
        <v>10.412030195552584</v>
      </c>
      <c r="T4" s="69">
        <f t="shared" ref="T4:T40" si="8">ABS(G4-S4)/G4</f>
        <v>0.17364839717836636</v>
      </c>
      <c r="U4">
        <f t="shared" ref="U4:U40" si="9">$X$3+$X$4*B4+C4*$X$5+$X$6*D4+E4*$X$7+$X$8*F4</f>
        <v>11.219523936940188</v>
      </c>
      <c r="V4" s="69">
        <f t="shared" ref="V4:V40" si="10">ABS(G4-U4)/G4</f>
        <v>0.10956159230633424</v>
      </c>
      <c r="W4" t="s">
        <v>10</v>
      </c>
      <c r="X4">
        <v>2.3394535086678716</v>
      </c>
    </row>
    <row r="5" spans="1:24" ht="16.2" thickBot="1" x14ac:dyDescent="0.35">
      <c r="A5" s="10">
        <v>3</v>
      </c>
      <c r="B5" s="12">
        <v>1</v>
      </c>
      <c r="C5" s="12">
        <v>3.9</v>
      </c>
      <c r="D5" s="12">
        <v>5.3</v>
      </c>
      <c r="E5" s="12">
        <v>4.7</v>
      </c>
      <c r="F5" s="12">
        <v>4.8</v>
      </c>
      <c r="G5" s="26">
        <v>11.9</v>
      </c>
      <c r="H5">
        <f t="shared" si="0"/>
        <v>57.12</v>
      </c>
      <c r="I5">
        <f t="shared" si="1"/>
        <v>23.04</v>
      </c>
      <c r="J5">
        <f t="shared" si="2"/>
        <v>141.61000000000001</v>
      </c>
      <c r="K5" s="5">
        <f t="shared" ref="K5:K40" si="11">$G$52+$G$51*F5</f>
        <v>12.48648073868684</v>
      </c>
      <c r="L5" s="65">
        <f t="shared" ref="L5:L40" si="12">ABS(G5-K5)/G5</f>
        <v>4.9284095687969709E-2</v>
      </c>
      <c r="M5" s="68">
        <f t="shared" ref="M5:M40" si="13" xml:space="preserve"> 4.9115*F5^0.595</f>
        <v>12.489719492163898</v>
      </c>
      <c r="N5" s="65">
        <f t="shared" ref="N5:N40" si="14">ABS(G5-M5)/G5</f>
        <v>4.9556259845705691E-2</v>
      </c>
      <c r="O5" s="70">
        <f t="shared" si="3"/>
        <v>12.446808000000001</v>
      </c>
      <c r="P5" s="69">
        <f t="shared" si="4"/>
        <v>4.5950252100840368E-2</v>
      </c>
      <c r="Q5" s="71">
        <f t="shared" si="5"/>
        <v>12.316105644888859</v>
      </c>
      <c r="R5" s="69">
        <f t="shared" si="6"/>
        <v>3.4966860915030144E-2</v>
      </c>
      <c r="S5" s="71">
        <f t="shared" si="7"/>
        <v>12.653227968741271</v>
      </c>
      <c r="T5" s="69">
        <f t="shared" si="8"/>
        <v>6.3296467961451344E-2</v>
      </c>
      <c r="U5">
        <f t="shared" si="9"/>
        <v>12.059125909859146</v>
      </c>
      <c r="V5" s="69">
        <f t="shared" si="10"/>
        <v>1.3371925198247543E-2</v>
      </c>
      <c r="W5" t="s">
        <v>11</v>
      </c>
      <c r="X5">
        <v>0.48255052529517167</v>
      </c>
    </row>
    <row r="6" spans="1:24" ht="16.2" thickBot="1" x14ac:dyDescent="0.35">
      <c r="A6" s="10">
        <v>4</v>
      </c>
      <c r="B6" s="12">
        <v>1</v>
      </c>
      <c r="C6" s="12">
        <v>3.9</v>
      </c>
      <c r="D6" s="12">
        <v>2.6</v>
      </c>
      <c r="E6" s="12">
        <v>3.6</v>
      </c>
      <c r="F6" s="12">
        <v>3.1</v>
      </c>
      <c r="G6" s="26">
        <v>11.1</v>
      </c>
      <c r="H6">
        <f t="shared" si="0"/>
        <v>34.409999999999997</v>
      </c>
      <c r="I6">
        <f t="shared" si="1"/>
        <v>9.6100000000000012</v>
      </c>
      <c r="J6">
        <f t="shared" si="2"/>
        <v>123.21</v>
      </c>
      <c r="K6" s="5">
        <f t="shared" si="11"/>
        <v>9.8142676393786843</v>
      </c>
      <c r="L6" s="65">
        <f t="shared" si="12"/>
        <v>0.11583174420011851</v>
      </c>
      <c r="M6" s="68">
        <f t="shared" si="13"/>
        <v>9.6288485583187811</v>
      </c>
      <c r="N6" s="65">
        <f t="shared" si="14"/>
        <v>0.13253616591722692</v>
      </c>
      <c r="O6" s="70">
        <f t="shared" si="3"/>
        <v>9.8857920000000021</v>
      </c>
      <c r="P6" s="69">
        <f t="shared" si="4"/>
        <v>0.10938810810810788</v>
      </c>
      <c r="Q6" s="71">
        <f t="shared" si="5"/>
        <v>9.8706707330849479</v>
      </c>
      <c r="R6" s="69">
        <f t="shared" si="6"/>
        <v>0.11075038440676142</v>
      </c>
      <c r="S6" s="71">
        <f t="shared" si="7"/>
        <v>9.5508899625074033</v>
      </c>
      <c r="T6" s="69">
        <f t="shared" si="8"/>
        <v>0.13955946283717086</v>
      </c>
      <c r="U6">
        <f t="shared" si="9"/>
        <v>10.087851506912163</v>
      </c>
      <c r="V6" s="69">
        <f t="shared" si="10"/>
        <v>9.1184548926832171E-2</v>
      </c>
      <c r="W6" t="s">
        <v>12</v>
      </c>
      <c r="X6">
        <v>0.27316117840968923</v>
      </c>
    </row>
    <row r="7" spans="1:24" ht="16.2" thickBot="1" x14ac:dyDescent="0.35">
      <c r="A7" s="10">
        <v>5</v>
      </c>
      <c r="B7" s="12">
        <v>1</v>
      </c>
      <c r="C7" s="12">
        <v>5.6</v>
      </c>
      <c r="D7" s="12">
        <v>5.0999999999999996</v>
      </c>
      <c r="E7" s="12">
        <v>5.0999999999999996</v>
      </c>
      <c r="F7" s="12">
        <v>5.5</v>
      </c>
      <c r="G7" s="26">
        <v>13.3</v>
      </c>
      <c r="H7">
        <f t="shared" si="0"/>
        <v>73.150000000000006</v>
      </c>
      <c r="I7">
        <f t="shared" si="1"/>
        <v>30.25</v>
      </c>
      <c r="J7">
        <f t="shared" si="2"/>
        <v>176.89000000000001</v>
      </c>
      <c r="K7" s="5">
        <f t="shared" si="11"/>
        <v>13.586803779578432</v>
      </c>
      <c r="L7" s="65">
        <f t="shared" si="12"/>
        <v>2.1564193953265493E-2</v>
      </c>
      <c r="M7" s="68">
        <f t="shared" si="13"/>
        <v>13.543469954877548</v>
      </c>
      <c r="N7" s="65">
        <f t="shared" si="14"/>
        <v>1.8306011644928344E-2</v>
      </c>
      <c r="O7" s="70">
        <f t="shared" si="3"/>
        <v>13.5672</v>
      </c>
      <c r="P7" s="69">
        <f t="shared" si="4"/>
        <v>2.0090225563909696E-2</v>
      </c>
      <c r="Q7" s="71">
        <f t="shared" si="5"/>
        <v>13.491337433367324</v>
      </c>
      <c r="R7" s="69">
        <f t="shared" si="6"/>
        <v>1.4386273185513023E-2</v>
      </c>
      <c r="S7" s="71">
        <f t="shared" si="7"/>
        <v>13.619181038096194</v>
      </c>
      <c r="T7" s="69">
        <f t="shared" si="8"/>
        <v>2.3998574292946859E-2</v>
      </c>
      <c r="U7">
        <f t="shared" si="9"/>
        <v>13.36905213758768</v>
      </c>
      <c r="V7" s="69">
        <f t="shared" si="10"/>
        <v>5.1918900441864013E-3</v>
      </c>
      <c r="W7" t="s">
        <v>14</v>
      </c>
      <c r="X7">
        <v>-0.68401016473527221</v>
      </c>
    </row>
    <row r="8" spans="1:24" ht="16.2" thickBot="1" x14ac:dyDescent="0.35">
      <c r="A8" s="10">
        <v>6</v>
      </c>
      <c r="B8" s="12">
        <v>1</v>
      </c>
      <c r="C8" s="12">
        <v>4.5999999999999996</v>
      </c>
      <c r="D8" s="12">
        <v>4.7</v>
      </c>
      <c r="E8" s="12">
        <v>4.0999999999999996</v>
      </c>
      <c r="F8" s="12">
        <v>5</v>
      </c>
      <c r="G8" s="26">
        <v>12.8</v>
      </c>
      <c r="H8">
        <f t="shared" si="0"/>
        <v>64</v>
      </c>
      <c r="I8">
        <f t="shared" si="1"/>
        <v>25</v>
      </c>
      <c r="J8">
        <f t="shared" si="2"/>
        <v>163.84000000000003</v>
      </c>
      <c r="K8" s="5">
        <f t="shared" si="11"/>
        <v>12.800858750370153</v>
      </c>
      <c r="L8" s="65">
        <f t="shared" si="12"/>
        <v>6.7089872668180117E-5</v>
      </c>
      <c r="M8" s="68">
        <f t="shared" si="13"/>
        <v>12.796797598817822</v>
      </c>
      <c r="N8" s="65">
        <f t="shared" si="14"/>
        <v>2.5018759235773125E-4</v>
      </c>
      <c r="O8" s="70">
        <f t="shared" si="3"/>
        <v>12.763000000000002</v>
      </c>
      <c r="P8" s="69">
        <f t="shared" si="4"/>
        <v>2.8906249999999245E-3</v>
      </c>
      <c r="Q8" s="71">
        <f t="shared" si="5"/>
        <v>12.641029180128863</v>
      </c>
      <c r="R8" s="69">
        <f t="shared" si="6"/>
        <v>1.2419595302432668E-2</v>
      </c>
      <c r="S8" s="71">
        <f t="shared" si="7"/>
        <v>12.942888595258646</v>
      </c>
      <c r="T8" s="69">
        <f t="shared" si="8"/>
        <v>1.1163171504581654E-2</v>
      </c>
      <c r="U8">
        <f t="shared" si="9"/>
        <v>12.877085422590486</v>
      </c>
      <c r="V8" s="69">
        <f t="shared" si="10"/>
        <v>6.0222986398816847E-3</v>
      </c>
      <c r="W8" s="72" t="s">
        <v>13</v>
      </c>
      <c r="X8" s="72">
        <v>1.1683237661468373</v>
      </c>
    </row>
    <row r="9" spans="1:24" ht="16.2" thickBot="1" x14ac:dyDescent="0.35">
      <c r="A9" s="10">
        <v>7</v>
      </c>
      <c r="B9" s="12">
        <v>1</v>
      </c>
      <c r="C9" s="12">
        <v>4.8</v>
      </c>
      <c r="D9" s="12">
        <v>4.8</v>
      </c>
      <c r="E9" s="12">
        <v>3.3</v>
      </c>
      <c r="F9" s="12">
        <v>4.8</v>
      </c>
      <c r="G9" s="26">
        <v>12.8</v>
      </c>
      <c r="H9">
        <f t="shared" si="0"/>
        <v>61.44</v>
      </c>
      <c r="I9">
        <f t="shared" si="1"/>
        <v>23.04</v>
      </c>
      <c r="J9">
        <f t="shared" si="2"/>
        <v>163.84000000000003</v>
      </c>
      <c r="K9" s="5">
        <f t="shared" si="11"/>
        <v>12.48648073868684</v>
      </c>
      <c r="L9" s="65">
        <f t="shared" si="12"/>
        <v>2.4493692290090685E-2</v>
      </c>
      <c r="M9" s="68">
        <f t="shared" si="13"/>
        <v>12.489719492163898</v>
      </c>
      <c r="N9" s="65">
        <f t="shared" si="14"/>
        <v>2.4240664674695517E-2</v>
      </c>
      <c r="O9" s="70">
        <f t="shared" si="3"/>
        <v>12.446808000000001</v>
      </c>
      <c r="P9" s="69">
        <f t="shared" si="4"/>
        <v>2.7593124999999996E-2</v>
      </c>
      <c r="Q9" s="71">
        <f t="shared" si="5"/>
        <v>12.316105644888859</v>
      </c>
      <c r="R9" s="69">
        <f t="shared" si="6"/>
        <v>3.7804246493057941E-2</v>
      </c>
      <c r="S9" s="71">
        <f t="shared" si="7"/>
        <v>12.653227968741271</v>
      </c>
      <c r="T9" s="69">
        <f t="shared" si="8"/>
        <v>1.1466564942088225E-2</v>
      </c>
      <c r="U9">
        <f t="shared" si="9"/>
        <v>13.314455024049337</v>
      </c>
      <c r="V9" s="69">
        <f t="shared" si="10"/>
        <v>4.0191798753854424E-2</v>
      </c>
    </row>
    <row r="10" spans="1:24" ht="16.2" thickBot="1" x14ac:dyDescent="0.35">
      <c r="A10" s="10">
        <v>8</v>
      </c>
      <c r="B10" s="12">
        <v>1</v>
      </c>
      <c r="C10" s="12">
        <v>5.3</v>
      </c>
      <c r="D10" s="12">
        <v>4.5</v>
      </c>
      <c r="E10" s="12">
        <v>5.2</v>
      </c>
      <c r="F10" s="12">
        <v>4.3</v>
      </c>
      <c r="G10" s="26">
        <v>12</v>
      </c>
      <c r="H10">
        <f t="shared" si="0"/>
        <v>51.599999999999994</v>
      </c>
      <c r="I10">
        <f t="shared" si="1"/>
        <v>18.489999999999998</v>
      </c>
      <c r="J10">
        <f t="shared" si="2"/>
        <v>144</v>
      </c>
      <c r="K10" s="5">
        <f t="shared" si="11"/>
        <v>11.700535709478558</v>
      </c>
      <c r="L10" s="65">
        <f t="shared" si="12"/>
        <v>2.4955357543453498E-2</v>
      </c>
      <c r="M10" s="68">
        <f t="shared" si="13"/>
        <v>11.698438047042721</v>
      </c>
      <c r="N10" s="65">
        <f t="shared" si="14"/>
        <v>2.5130162746439904E-2</v>
      </c>
      <c r="O10" s="70">
        <f t="shared" si="3"/>
        <v>11.670048000000001</v>
      </c>
      <c r="P10" s="69">
        <f t="shared" si="4"/>
        <v>2.7495999999999892E-2</v>
      </c>
      <c r="Q10" s="71">
        <f t="shared" si="5"/>
        <v>11.539867830859773</v>
      </c>
      <c r="R10" s="69">
        <f t="shared" si="6"/>
        <v>3.8344347428352243E-2</v>
      </c>
      <c r="S10" s="71">
        <f t="shared" si="7"/>
        <v>11.87269461656896</v>
      </c>
      <c r="T10" s="69">
        <f t="shared" si="8"/>
        <v>1.0608781952586632E-2</v>
      </c>
      <c r="U10">
        <f t="shared" si="9"/>
        <v>11.590000737103583</v>
      </c>
      <c r="V10" s="69">
        <f t="shared" si="10"/>
        <v>3.4166605241368053E-2</v>
      </c>
    </row>
    <row r="11" spans="1:24" ht="16.2" thickBot="1" x14ac:dyDescent="0.35">
      <c r="A11" s="10">
        <v>9</v>
      </c>
      <c r="B11" s="12">
        <v>1</v>
      </c>
      <c r="C11" s="12">
        <v>4.3</v>
      </c>
      <c r="D11" s="12">
        <v>4.3</v>
      </c>
      <c r="E11" s="12">
        <v>2.9</v>
      </c>
      <c r="F11" s="12">
        <v>3.9</v>
      </c>
      <c r="G11" s="26">
        <v>13.6</v>
      </c>
      <c r="H11">
        <f t="shared" si="0"/>
        <v>53.04</v>
      </c>
      <c r="I11">
        <f t="shared" si="1"/>
        <v>15.209999999999999</v>
      </c>
      <c r="J11">
        <f t="shared" si="2"/>
        <v>184.95999999999998</v>
      </c>
      <c r="K11" s="5">
        <f t="shared" si="11"/>
        <v>11.071779686111935</v>
      </c>
      <c r="L11" s="65">
        <f t="shared" si="12"/>
        <v>0.18589855249176948</v>
      </c>
      <c r="M11" s="68">
        <f t="shared" si="13"/>
        <v>11.038182992032382</v>
      </c>
      <c r="N11" s="65">
        <f t="shared" si="14"/>
        <v>0.18836889764467774</v>
      </c>
      <c r="O11" s="70">
        <f t="shared" si="3"/>
        <v>11.062752</v>
      </c>
      <c r="P11" s="69">
        <f t="shared" si="4"/>
        <v>0.18656235294117648</v>
      </c>
      <c r="Q11" s="71">
        <f t="shared" si="5"/>
        <v>10.954253276070192</v>
      </c>
      <c r="R11" s="69">
        <f t="shared" si="6"/>
        <v>0.19454020028895644</v>
      </c>
      <c r="S11" s="71">
        <f t="shared" si="7"/>
        <v>11.179881328084281</v>
      </c>
      <c r="T11" s="69">
        <f t="shared" si="8"/>
        <v>0.17794990234674399</v>
      </c>
      <c r="U11">
        <f t="shared" si="9"/>
        <v>12.158711848558863</v>
      </c>
      <c r="V11" s="69">
        <f t="shared" si="10"/>
        <v>0.10597706995890714</v>
      </c>
    </row>
    <row r="12" spans="1:24" ht="16.2" thickBot="1" x14ac:dyDescent="0.35">
      <c r="A12" s="10">
        <v>10</v>
      </c>
      <c r="B12" s="12">
        <v>1</v>
      </c>
      <c r="C12" s="12">
        <v>4.3</v>
      </c>
      <c r="D12" s="12">
        <v>3.9</v>
      </c>
      <c r="E12" s="12">
        <v>3.9</v>
      </c>
      <c r="F12" s="12">
        <v>4.7</v>
      </c>
      <c r="G12" s="26">
        <v>13.9</v>
      </c>
      <c r="H12">
        <f t="shared" si="0"/>
        <v>65.33</v>
      </c>
      <c r="I12">
        <f t="shared" si="1"/>
        <v>22.090000000000003</v>
      </c>
      <c r="J12">
        <f t="shared" si="2"/>
        <v>193.21</v>
      </c>
      <c r="K12" s="5">
        <f t="shared" si="11"/>
        <v>12.329291732845185</v>
      </c>
      <c r="L12" s="65">
        <f t="shared" si="12"/>
        <v>0.11300059475933923</v>
      </c>
      <c r="M12" s="68">
        <f t="shared" si="13"/>
        <v>12.334239408340984</v>
      </c>
      <c r="N12" s="65">
        <f t="shared" si="14"/>
        <v>0.1126446468819436</v>
      </c>
      <c r="O12" s="70">
        <f t="shared" si="3"/>
        <v>12.289888000000001</v>
      </c>
      <c r="P12" s="69">
        <f t="shared" si="4"/>
        <v>0.11583539568345316</v>
      </c>
      <c r="Q12" s="71">
        <f t="shared" si="5"/>
        <v>12.156789349085244</v>
      </c>
      <c r="R12" s="69">
        <f t="shared" si="6"/>
        <v>0.12541083819530621</v>
      </c>
      <c r="S12" s="71">
        <f t="shared" si="7"/>
        <v>12.503839293096213</v>
      </c>
      <c r="T12" s="69">
        <f t="shared" si="8"/>
        <v>0.10044321632401346</v>
      </c>
      <c r="U12">
        <f t="shared" si="9"/>
        <v>12.300096225377185</v>
      </c>
      <c r="V12" s="69">
        <f t="shared" si="10"/>
        <v>0.11510099098005863</v>
      </c>
    </row>
    <row r="13" spans="1:24" ht="16.2" thickBot="1" x14ac:dyDescent="0.35">
      <c r="A13" s="10">
        <v>11</v>
      </c>
      <c r="B13" s="12">
        <v>1</v>
      </c>
      <c r="C13" s="12">
        <v>5.0999999999999996</v>
      </c>
      <c r="D13" s="12">
        <v>4.3</v>
      </c>
      <c r="E13" s="12">
        <v>3.6</v>
      </c>
      <c r="F13" s="12">
        <v>4.5</v>
      </c>
      <c r="G13" s="26">
        <v>14.4</v>
      </c>
      <c r="H13">
        <f t="shared" si="0"/>
        <v>64.8</v>
      </c>
      <c r="I13">
        <f t="shared" si="1"/>
        <v>20.25</v>
      </c>
      <c r="J13">
        <f t="shared" si="2"/>
        <v>207.36</v>
      </c>
      <c r="K13" s="5">
        <f t="shared" si="11"/>
        <v>12.014913721161872</v>
      </c>
      <c r="L13" s="65">
        <f t="shared" si="12"/>
        <v>0.16563099158598116</v>
      </c>
      <c r="M13" s="68">
        <f t="shared" si="13"/>
        <v>12.01920089017772</v>
      </c>
      <c r="N13" s="65">
        <f t="shared" si="14"/>
        <v>0.16533327151543617</v>
      </c>
      <c r="O13" s="70">
        <f t="shared" si="3"/>
        <v>11.978400000000001</v>
      </c>
      <c r="P13" s="69">
        <f t="shared" si="4"/>
        <v>0.16816666666666666</v>
      </c>
      <c r="Q13" s="71">
        <f t="shared" si="5"/>
        <v>11.844312657813774</v>
      </c>
      <c r="R13" s="69">
        <f t="shared" si="6"/>
        <v>0.1774782876518213</v>
      </c>
      <c r="S13" s="71">
        <f t="shared" si="7"/>
        <v>12.195281984305408</v>
      </c>
      <c r="T13" s="69">
        <f t="shared" si="8"/>
        <v>0.15310541775656888</v>
      </c>
      <c r="U13">
        <f t="shared" si="9"/>
        <v>12.76693941316841</v>
      </c>
      <c r="V13" s="69">
        <f t="shared" si="10"/>
        <v>0.11340698519663819</v>
      </c>
    </row>
    <row r="14" spans="1:24" ht="16.2" thickBot="1" x14ac:dyDescent="0.35">
      <c r="A14" s="10">
        <v>12</v>
      </c>
      <c r="B14" s="12">
        <v>0.5</v>
      </c>
      <c r="C14" s="12">
        <v>3.3</v>
      </c>
      <c r="D14" s="12">
        <v>5.4</v>
      </c>
      <c r="E14" s="12">
        <v>3.6</v>
      </c>
      <c r="F14" s="12">
        <v>4.3</v>
      </c>
      <c r="G14" s="26">
        <v>12.3</v>
      </c>
      <c r="H14">
        <f t="shared" si="0"/>
        <v>52.89</v>
      </c>
      <c r="I14">
        <f t="shared" si="1"/>
        <v>18.489999999999998</v>
      </c>
      <c r="J14">
        <f t="shared" si="2"/>
        <v>151.29000000000002</v>
      </c>
      <c r="K14" s="5">
        <f t="shared" si="11"/>
        <v>11.700535709478558</v>
      </c>
      <c r="L14" s="65">
        <f t="shared" si="12"/>
        <v>4.8736934188735176E-2</v>
      </c>
      <c r="M14" s="68">
        <f t="shared" si="13"/>
        <v>11.698438047042721</v>
      </c>
      <c r="N14" s="65">
        <f t="shared" si="14"/>
        <v>4.8907475850185324E-2</v>
      </c>
      <c r="O14" s="70">
        <f t="shared" si="3"/>
        <v>11.670048000000001</v>
      </c>
      <c r="P14" s="69">
        <f t="shared" si="4"/>
        <v>5.1215609756097506E-2</v>
      </c>
      <c r="Q14" s="71">
        <f t="shared" si="5"/>
        <v>11.539867830859773</v>
      </c>
      <c r="R14" s="69">
        <f t="shared" si="6"/>
        <v>6.1799363344733953E-2</v>
      </c>
      <c r="S14" s="71">
        <f t="shared" si="7"/>
        <v>11.87269461656896</v>
      </c>
      <c r="T14" s="69">
        <f t="shared" si="8"/>
        <v>3.4740275075694334E-2</v>
      </c>
      <c r="U14">
        <f t="shared" si="9"/>
        <v>10.795434256324457</v>
      </c>
      <c r="V14" s="69">
        <f t="shared" si="10"/>
        <v>0.12232241818500354</v>
      </c>
    </row>
    <row r="15" spans="1:24" ht="16.2" thickBot="1" x14ac:dyDescent="0.35">
      <c r="A15" s="10">
        <v>13</v>
      </c>
      <c r="B15" s="12">
        <v>0.8</v>
      </c>
      <c r="C15" s="12">
        <v>5.9</v>
      </c>
      <c r="D15" s="12">
        <v>5.7</v>
      </c>
      <c r="E15" s="12">
        <v>4.0999999999999996</v>
      </c>
      <c r="F15" s="12">
        <v>7</v>
      </c>
      <c r="G15" s="26">
        <v>16.100000000000001</v>
      </c>
      <c r="H15">
        <f t="shared" si="0"/>
        <v>112.70000000000002</v>
      </c>
      <c r="I15">
        <f t="shared" si="1"/>
        <v>49</v>
      </c>
      <c r="J15">
        <f t="shared" si="2"/>
        <v>259.21000000000004</v>
      </c>
      <c r="K15" s="5">
        <f t="shared" si="11"/>
        <v>15.944638867203274</v>
      </c>
      <c r="L15" s="65">
        <f t="shared" si="12"/>
        <v>9.6497598010389721E-3</v>
      </c>
      <c r="M15" s="68">
        <f t="shared" si="13"/>
        <v>15.633185537070414</v>
      </c>
      <c r="N15" s="65">
        <f t="shared" si="14"/>
        <v>2.8994687138483688E-2</v>
      </c>
      <c r="O15" s="70">
        <f t="shared" si="3"/>
        <v>16.0974</v>
      </c>
      <c r="P15" s="69">
        <f t="shared" si="4"/>
        <v>1.6149068322987863E-4</v>
      </c>
      <c r="Q15" s="71">
        <f t="shared" si="5"/>
        <v>16.401090194294508</v>
      </c>
      <c r="R15" s="69">
        <f t="shared" si="6"/>
        <v>1.8701254304006591E-2</v>
      </c>
      <c r="S15" s="71">
        <f t="shared" si="7"/>
        <v>15.330394644651786</v>
      </c>
      <c r="T15" s="69">
        <f t="shared" si="8"/>
        <v>4.7801574866348763E-2</v>
      </c>
      <c r="U15">
        <f t="shared" si="9"/>
        <v>15.646319114443997</v>
      </c>
      <c r="V15" s="69">
        <f t="shared" si="10"/>
        <v>2.8178936991056142E-2</v>
      </c>
    </row>
    <row r="16" spans="1:24" ht="16.2" thickBot="1" x14ac:dyDescent="0.35">
      <c r="A16" s="10">
        <v>14</v>
      </c>
      <c r="B16" s="12">
        <v>0.7</v>
      </c>
      <c r="C16" s="12">
        <v>7.7</v>
      </c>
      <c r="D16" s="12">
        <v>6.6</v>
      </c>
      <c r="E16" s="12">
        <v>3.7</v>
      </c>
      <c r="F16" s="12">
        <v>6.7</v>
      </c>
      <c r="G16" s="26">
        <v>16.100000000000001</v>
      </c>
      <c r="H16">
        <f t="shared" si="0"/>
        <v>107.87000000000002</v>
      </c>
      <c r="I16">
        <f t="shared" si="1"/>
        <v>44.89</v>
      </c>
      <c r="J16">
        <f t="shared" si="2"/>
        <v>259.21000000000004</v>
      </c>
      <c r="K16" s="5">
        <f t="shared" si="11"/>
        <v>15.473071849678306</v>
      </c>
      <c r="L16" s="65">
        <f t="shared" si="12"/>
        <v>3.8939636665943841E-2</v>
      </c>
      <c r="M16" s="68">
        <f t="shared" si="13"/>
        <v>15.231008342106094</v>
      </c>
      <c r="N16" s="65">
        <f t="shared" si="14"/>
        <v>5.3974637136267552E-2</v>
      </c>
      <c r="O16" s="70">
        <f t="shared" si="3"/>
        <v>15.577248000000001</v>
      </c>
      <c r="P16" s="69">
        <f t="shared" si="4"/>
        <v>3.2469068322981395E-2</v>
      </c>
      <c r="Q16" s="71">
        <f t="shared" si="5"/>
        <v>15.772813727920955</v>
      </c>
      <c r="R16" s="69">
        <f t="shared" si="6"/>
        <v>2.0322128700561898E-2</v>
      </c>
      <c r="S16" s="71">
        <f t="shared" si="7"/>
        <v>15.019584375054629</v>
      </c>
      <c r="T16" s="69">
        <f t="shared" si="8"/>
        <v>6.7106560555613176E-2</v>
      </c>
      <c r="U16">
        <f t="shared" si="9"/>
        <v>16.449916705727297</v>
      </c>
      <c r="V16" s="69">
        <f t="shared" si="10"/>
        <v>2.1733956877471775E-2</v>
      </c>
    </row>
    <row r="17" spans="1:22" ht="16.2" thickBot="1" x14ac:dyDescent="0.35">
      <c r="A17" s="10">
        <v>15</v>
      </c>
      <c r="B17" s="12">
        <v>1</v>
      </c>
      <c r="C17" s="12">
        <v>7.1</v>
      </c>
      <c r="D17" s="12">
        <v>4.4000000000000004</v>
      </c>
      <c r="E17" s="12">
        <v>4.0999999999999996</v>
      </c>
      <c r="F17" s="12">
        <v>5.8</v>
      </c>
      <c r="G17" s="26">
        <v>15.5</v>
      </c>
      <c r="H17">
        <f t="shared" si="0"/>
        <v>89.899999999999991</v>
      </c>
      <c r="I17">
        <f t="shared" si="1"/>
        <v>33.64</v>
      </c>
      <c r="J17">
        <f t="shared" si="2"/>
        <v>240.25</v>
      </c>
      <c r="K17" s="5">
        <f t="shared" si="11"/>
        <v>14.0583707971034</v>
      </c>
      <c r="L17" s="65">
        <f t="shared" si="12"/>
        <v>9.3008335670748371E-2</v>
      </c>
      <c r="M17" s="68">
        <f t="shared" si="13"/>
        <v>13.978282218969692</v>
      </c>
      <c r="N17" s="65">
        <f t="shared" si="14"/>
        <v>9.8175340711632753E-2</v>
      </c>
      <c r="O17" s="70">
        <f t="shared" si="3"/>
        <v>14.059128000000001</v>
      </c>
      <c r="P17" s="69">
        <f t="shared" si="4"/>
        <v>9.2959483870967669E-2</v>
      </c>
      <c r="Q17" s="71">
        <f t="shared" si="5"/>
        <v>14.02873614709743</v>
      </c>
      <c r="R17" s="69">
        <f t="shared" si="6"/>
        <v>9.4920248574359378E-2</v>
      </c>
      <c r="S17" s="71">
        <f t="shared" si="7"/>
        <v>13.996032425576377</v>
      </c>
      <c r="T17" s="69">
        <f t="shared" si="8"/>
        <v>9.7030166091846629E-2</v>
      </c>
      <c r="U17">
        <f t="shared" si="9"/>
        <v>14.936172395222975</v>
      </c>
      <c r="V17" s="69">
        <f t="shared" si="10"/>
        <v>3.6375974501743534E-2</v>
      </c>
    </row>
    <row r="18" spans="1:22" ht="16.2" thickBot="1" x14ac:dyDescent="0.35">
      <c r="A18" s="10">
        <v>16</v>
      </c>
      <c r="B18" s="12">
        <v>0.9</v>
      </c>
      <c r="C18" s="12">
        <v>5.5</v>
      </c>
      <c r="D18" s="12">
        <v>5.6</v>
      </c>
      <c r="E18" s="12">
        <v>4.4000000000000004</v>
      </c>
      <c r="F18" s="12">
        <v>5.6</v>
      </c>
      <c r="G18" s="26">
        <v>15.5</v>
      </c>
      <c r="H18">
        <f t="shared" si="0"/>
        <v>86.8</v>
      </c>
      <c r="I18">
        <f t="shared" si="1"/>
        <v>31.359999999999996</v>
      </c>
      <c r="J18">
        <f t="shared" si="2"/>
        <v>240.25</v>
      </c>
      <c r="K18" s="5">
        <f t="shared" si="11"/>
        <v>13.743992785420087</v>
      </c>
      <c r="L18" s="65">
        <f t="shared" si="12"/>
        <v>0.11329078803741376</v>
      </c>
      <c r="M18" s="68">
        <f t="shared" si="13"/>
        <v>13.689450774903404</v>
      </c>
      <c r="N18" s="65">
        <f t="shared" si="14"/>
        <v>0.11680962742558681</v>
      </c>
      <c r="O18" s="70">
        <f t="shared" si="3"/>
        <v>13.730392000000002</v>
      </c>
      <c r="P18" s="69">
        <f t="shared" si="4"/>
        <v>0.114168258064516</v>
      </c>
      <c r="Q18" s="71">
        <f t="shared" si="5"/>
        <v>13.668143154318841</v>
      </c>
      <c r="R18" s="69">
        <f t="shared" si="6"/>
        <v>0.11818431262459091</v>
      </c>
      <c r="S18" s="71">
        <f t="shared" si="7"/>
        <v>13.747034947591548</v>
      </c>
      <c r="T18" s="69">
        <f t="shared" si="8"/>
        <v>0.11309451951022273</v>
      </c>
      <c r="U18">
        <f t="shared" si="9"/>
        <v>13.819071815325589</v>
      </c>
      <c r="V18" s="69">
        <f t="shared" si="10"/>
        <v>0.10844697965641359</v>
      </c>
    </row>
    <row r="19" spans="1:22" ht="16.2" thickBot="1" x14ac:dyDescent="0.35">
      <c r="A19" s="10">
        <v>17</v>
      </c>
      <c r="B19" s="12">
        <v>1</v>
      </c>
      <c r="C19" s="12">
        <v>6.3</v>
      </c>
      <c r="D19" s="12">
        <v>5.4</v>
      </c>
      <c r="E19" s="12">
        <v>4.5999999999999996</v>
      </c>
      <c r="F19" s="12">
        <v>4.8</v>
      </c>
      <c r="G19" s="26">
        <v>13.8</v>
      </c>
      <c r="H19">
        <f t="shared" si="0"/>
        <v>66.239999999999995</v>
      </c>
      <c r="I19">
        <f t="shared" si="1"/>
        <v>23.04</v>
      </c>
      <c r="J19">
        <f t="shared" si="2"/>
        <v>190.44000000000003</v>
      </c>
      <c r="K19" s="5">
        <f t="shared" si="11"/>
        <v>12.48648073868684</v>
      </c>
      <c r="L19" s="65">
        <f t="shared" si="12"/>
        <v>9.5182555167620336E-2</v>
      </c>
      <c r="M19" s="68">
        <f t="shared" si="13"/>
        <v>12.489719492163898</v>
      </c>
      <c r="N19" s="65">
        <f t="shared" si="14"/>
        <v>9.4947862886674103E-2</v>
      </c>
      <c r="O19" s="70">
        <f t="shared" si="3"/>
        <v>12.446808000000001</v>
      </c>
      <c r="P19" s="69">
        <f t="shared" si="4"/>
        <v>9.8057391304347818E-2</v>
      </c>
      <c r="Q19" s="71">
        <f t="shared" si="5"/>
        <v>12.316105644888859</v>
      </c>
      <c r="R19" s="69">
        <f t="shared" si="6"/>
        <v>0.10752857645732911</v>
      </c>
      <c r="S19" s="71">
        <f t="shared" si="7"/>
        <v>12.653227968741271</v>
      </c>
      <c r="T19" s="69">
        <f t="shared" si="8"/>
        <v>8.3099422554980373E-2</v>
      </c>
      <c r="U19">
        <f t="shared" si="9"/>
        <v>13.312964304882055</v>
      </c>
      <c r="V19" s="69">
        <f t="shared" si="10"/>
        <v>3.5292441675213476E-2</v>
      </c>
    </row>
    <row r="20" spans="1:22" ht="16.2" thickBot="1" x14ac:dyDescent="0.35">
      <c r="A20" s="10">
        <v>18</v>
      </c>
      <c r="B20" s="12">
        <v>1</v>
      </c>
      <c r="C20" s="12">
        <v>5</v>
      </c>
      <c r="D20" s="12">
        <v>5.5</v>
      </c>
      <c r="E20" s="12">
        <v>4.0999999999999996</v>
      </c>
      <c r="F20" s="12">
        <v>5.5</v>
      </c>
      <c r="G20" s="26">
        <v>13.8</v>
      </c>
      <c r="H20">
        <f t="shared" si="0"/>
        <v>75.900000000000006</v>
      </c>
      <c r="I20">
        <f t="shared" si="1"/>
        <v>30.25</v>
      </c>
      <c r="J20">
        <f t="shared" si="2"/>
        <v>190.44000000000003</v>
      </c>
      <c r="K20" s="5">
        <f t="shared" si="11"/>
        <v>13.586803779578432</v>
      </c>
      <c r="L20" s="65">
        <f t="shared" si="12"/>
        <v>1.5449001479823836E-2</v>
      </c>
      <c r="M20" s="68">
        <f t="shared" si="13"/>
        <v>13.543469954877548</v>
      </c>
      <c r="N20" s="65">
        <f t="shared" si="14"/>
        <v>1.8589133704525581E-2</v>
      </c>
      <c r="O20" s="70">
        <f t="shared" si="3"/>
        <v>13.5672</v>
      </c>
      <c r="P20" s="69">
        <f t="shared" si="4"/>
        <v>1.6869565217391375E-2</v>
      </c>
      <c r="Q20" s="71">
        <f t="shared" si="5"/>
        <v>13.491337433367324</v>
      </c>
      <c r="R20" s="69">
        <f t="shared" si="6"/>
        <v>2.2366852654541795E-2</v>
      </c>
      <c r="S20" s="71">
        <f t="shared" si="7"/>
        <v>13.619181038096194</v>
      </c>
      <c r="T20" s="69">
        <f t="shared" si="8"/>
        <v>1.3102823326362808E-2</v>
      </c>
      <c r="U20">
        <f t="shared" si="9"/>
        <v>13.872796458509725</v>
      </c>
      <c r="V20" s="69">
        <f t="shared" si="10"/>
        <v>5.2751056891104861E-3</v>
      </c>
    </row>
    <row r="21" spans="1:22" ht="16.2" thickBot="1" x14ac:dyDescent="0.35">
      <c r="A21" s="10">
        <v>19</v>
      </c>
      <c r="B21" s="12">
        <v>1</v>
      </c>
      <c r="C21" s="12">
        <v>4.5999999999999996</v>
      </c>
      <c r="D21" s="12">
        <v>4.0999999999999996</v>
      </c>
      <c r="E21" s="12">
        <v>3.1</v>
      </c>
      <c r="F21" s="12">
        <v>4.3</v>
      </c>
      <c r="G21" s="26">
        <v>11.3</v>
      </c>
      <c r="H21">
        <f t="shared" si="0"/>
        <v>48.59</v>
      </c>
      <c r="I21">
        <f t="shared" si="1"/>
        <v>18.489999999999998</v>
      </c>
      <c r="J21">
        <f t="shared" si="2"/>
        <v>127.69000000000001</v>
      </c>
      <c r="K21" s="5">
        <f t="shared" si="11"/>
        <v>11.700535709478558</v>
      </c>
      <c r="L21" s="65">
        <f t="shared" si="12"/>
        <v>3.5445638006951975E-2</v>
      </c>
      <c r="M21" s="68">
        <f t="shared" si="13"/>
        <v>11.698438047042721</v>
      </c>
      <c r="N21" s="65">
        <f t="shared" si="14"/>
        <v>3.5260004163072602E-2</v>
      </c>
      <c r="O21" s="70">
        <f t="shared" si="3"/>
        <v>11.670048000000001</v>
      </c>
      <c r="P21" s="69">
        <f t="shared" si="4"/>
        <v>3.2747610619469077E-2</v>
      </c>
      <c r="Q21" s="71">
        <f t="shared" si="5"/>
        <v>11.539867830859773</v>
      </c>
      <c r="R21" s="69">
        <f t="shared" si="6"/>
        <v>2.1227241669006403E-2</v>
      </c>
      <c r="S21" s="71">
        <f t="shared" si="7"/>
        <v>11.87269461656896</v>
      </c>
      <c r="T21" s="69">
        <f t="shared" si="8"/>
        <v>5.0680939519376959E-2</v>
      </c>
      <c r="U21">
        <f t="shared" si="9"/>
        <v>12.579372243977154</v>
      </c>
      <c r="V21" s="69">
        <f t="shared" si="10"/>
        <v>0.11321878265284543</v>
      </c>
    </row>
    <row r="22" spans="1:22" ht="16.2" thickBot="1" x14ac:dyDescent="0.35">
      <c r="A22" s="10">
        <v>20</v>
      </c>
      <c r="B22" s="12">
        <v>0.9</v>
      </c>
      <c r="C22" s="12">
        <v>3.4</v>
      </c>
      <c r="D22" s="12">
        <v>5</v>
      </c>
      <c r="E22" s="12">
        <v>3.4</v>
      </c>
      <c r="F22" s="12">
        <v>3.4</v>
      </c>
      <c r="G22" s="26">
        <v>7.9</v>
      </c>
      <c r="H22">
        <f t="shared" si="0"/>
        <v>26.86</v>
      </c>
      <c r="I22">
        <f t="shared" si="1"/>
        <v>11.559999999999999</v>
      </c>
      <c r="J22">
        <f t="shared" si="2"/>
        <v>62.410000000000004</v>
      </c>
      <c r="K22" s="5">
        <f t="shared" si="11"/>
        <v>10.285834656903653</v>
      </c>
      <c r="L22" s="65">
        <f t="shared" si="12"/>
        <v>0.3020043869498294</v>
      </c>
      <c r="M22" s="68">
        <f t="shared" si="13"/>
        <v>10.172884273997177</v>
      </c>
      <c r="N22" s="65">
        <f t="shared" si="14"/>
        <v>0.28770687012622487</v>
      </c>
      <c r="O22" s="70">
        <f t="shared" si="3"/>
        <v>10.321272</v>
      </c>
      <c r="P22" s="69">
        <f t="shared" si="4"/>
        <v>0.30649012658227848</v>
      </c>
      <c r="Q22" s="71">
        <f t="shared" si="5"/>
        <v>10.263847894490308</v>
      </c>
      <c r="R22" s="69">
        <f t="shared" si="6"/>
        <v>0.2992212524671275</v>
      </c>
      <c r="S22" s="71">
        <f t="shared" si="7"/>
        <v>10.206343330161046</v>
      </c>
      <c r="T22" s="69">
        <f t="shared" si="8"/>
        <v>0.29194219369127156</v>
      </c>
      <c r="U22">
        <f t="shared" si="9"/>
        <v>10.755516884372149</v>
      </c>
      <c r="V22" s="69">
        <f t="shared" si="10"/>
        <v>0.3614578334648289</v>
      </c>
    </row>
    <row r="23" spans="1:22" ht="16.2" thickBot="1" x14ac:dyDescent="0.35">
      <c r="A23" s="10">
        <v>21</v>
      </c>
      <c r="B23" s="12">
        <v>0.9</v>
      </c>
      <c r="C23" s="12">
        <v>6.4</v>
      </c>
      <c r="D23" s="12">
        <v>5.4</v>
      </c>
      <c r="E23" s="12">
        <v>4.8</v>
      </c>
      <c r="F23" s="12">
        <v>6.6</v>
      </c>
      <c r="G23" s="26">
        <v>15.1</v>
      </c>
      <c r="H23">
        <f t="shared" si="0"/>
        <v>99.66</v>
      </c>
      <c r="I23">
        <f t="shared" si="1"/>
        <v>43.559999999999995</v>
      </c>
      <c r="J23">
        <f t="shared" si="2"/>
        <v>228.01</v>
      </c>
      <c r="K23" s="5">
        <f t="shared" si="11"/>
        <v>15.315882843836651</v>
      </c>
      <c r="L23" s="65">
        <f t="shared" si="12"/>
        <v>1.4296877075274895E-2</v>
      </c>
      <c r="M23" s="68">
        <f t="shared" si="13"/>
        <v>15.095336201821805</v>
      </c>
      <c r="N23" s="65">
        <f t="shared" si="14"/>
        <v>3.0886080650294781E-4</v>
      </c>
      <c r="O23" s="70">
        <f t="shared" si="3"/>
        <v>15.405432000000001</v>
      </c>
      <c r="P23" s="69">
        <f t="shared" si="4"/>
        <v>2.022728476821202E-2</v>
      </c>
      <c r="Q23" s="71">
        <f t="shared" si="5"/>
        <v>15.56878281669086</v>
      </c>
      <c r="R23" s="69">
        <f t="shared" si="6"/>
        <v>3.1045219648401318E-2</v>
      </c>
      <c r="S23" s="71">
        <f t="shared" si="7"/>
        <v>14.912880108639056</v>
      </c>
      <c r="T23" s="69">
        <f t="shared" si="8"/>
        <v>1.2392045785492935E-2</v>
      </c>
      <c r="U23">
        <f t="shared" si="9"/>
        <v>15.093454752662037</v>
      </c>
      <c r="V23" s="69">
        <f t="shared" si="10"/>
        <v>4.3346008860679328E-4</v>
      </c>
    </row>
    <row r="24" spans="1:22" ht="16.2" thickBot="1" x14ac:dyDescent="0.35">
      <c r="A24" s="10">
        <v>22</v>
      </c>
      <c r="B24" s="12">
        <v>1</v>
      </c>
      <c r="C24" s="12">
        <v>5.5</v>
      </c>
      <c r="D24" s="12">
        <v>5.3</v>
      </c>
      <c r="E24" s="12">
        <v>3.8</v>
      </c>
      <c r="F24" s="12">
        <v>5.3</v>
      </c>
      <c r="G24" s="26">
        <v>13.5</v>
      </c>
      <c r="H24">
        <f t="shared" si="0"/>
        <v>71.55</v>
      </c>
      <c r="I24">
        <f t="shared" si="1"/>
        <v>28.09</v>
      </c>
      <c r="J24">
        <f t="shared" si="2"/>
        <v>182.25</v>
      </c>
      <c r="K24" s="5">
        <f t="shared" si="11"/>
        <v>13.272425767895122</v>
      </c>
      <c r="L24" s="65">
        <f t="shared" si="12"/>
        <v>1.6857350526287271E-2</v>
      </c>
      <c r="M24" s="68">
        <f t="shared" si="13"/>
        <v>13.248243165587853</v>
      </c>
      <c r="N24" s="65">
        <f t="shared" si="14"/>
        <v>1.8648654400899762E-2</v>
      </c>
      <c r="O24" s="70">
        <f t="shared" si="3"/>
        <v>13.243168000000001</v>
      </c>
      <c r="P24" s="69">
        <f t="shared" si="4"/>
        <v>1.9024592592592541E-2</v>
      </c>
      <c r="Q24" s="71">
        <f t="shared" si="5"/>
        <v>13.144557674259069</v>
      </c>
      <c r="R24" s="69">
        <f t="shared" si="6"/>
        <v>2.6329061165994899E-2</v>
      </c>
      <c r="S24" s="71">
        <f t="shared" si="7"/>
        <v>13.356347286633941</v>
      </c>
      <c r="T24" s="69">
        <f t="shared" si="8"/>
        <v>1.0640941730819186E-2</v>
      </c>
      <c r="U24">
        <f t="shared" si="9"/>
        <v>14.030977781666586</v>
      </c>
      <c r="V24" s="69">
        <f t="shared" si="10"/>
        <v>3.9331687530858202E-2</v>
      </c>
    </row>
    <row r="25" spans="1:22" ht="16.2" thickBot="1" x14ac:dyDescent="0.35">
      <c r="A25" s="10">
        <v>23</v>
      </c>
      <c r="B25" s="12">
        <v>0.7</v>
      </c>
      <c r="C25" s="12">
        <v>4.7</v>
      </c>
      <c r="D25" s="12">
        <v>4.0999999999999996</v>
      </c>
      <c r="E25" s="12">
        <v>3.7</v>
      </c>
      <c r="F25" s="12">
        <v>5</v>
      </c>
      <c r="G25" s="26">
        <v>10.8</v>
      </c>
      <c r="H25">
        <f t="shared" si="0"/>
        <v>54</v>
      </c>
      <c r="I25">
        <f t="shared" si="1"/>
        <v>25</v>
      </c>
      <c r="J25">
        <f t="shared" si="2"/>
        <v>116.64000000000001</v>
      </c>
      <c r="K25" s="5">
        <f t="shared" si="11"/>
        <v>12.800858750370153</v>
      </c>
      <c r="L25" s="65">
        <f t="shared" si="12"/>
        <v>0.18526469910834745</v>
      </c>
      <c r="M25" s="68">
        <f t="shared" si="13"/>
        <v>12.796797598817822</v>
      </c>
      <c r="N25" s="65">
        <f t="shared" si="14"/>
        <v>0.18488866655720565</v>
      </c>
      <c r="O25" s="70">
        <f t="shared" si="3"/>
        <v>12.763000000000002</v>
      </c>
      <c r="P25" s="69">
        <f t="shared" si="4"/>
        <v>0.18175925925925934</v>
      </c>
      <c r="Q25" s="71">
        <f t="shared" si="5"/>
        <v>12.641029180128863</v>
      </c>
      <c r="R25" s="69">
        <f t="shared" si="6"/>
        <v>0.17046566482674647</v>
      </c>
      <c r="S25" s="71">
        <f t="shared" si="7"/>
        <v>12.942888595258646</v>
      </c>
      <c r="T25" s="69">
        <f t="shared" si="8"/>
        <v>0.19841561067209676</v>
      </c>
      <c r="U25">
        <f t="shared" si="9"/>
        <v>12.333211781367936</v>
      </c>
      <c r="V25" s="69">
        <f t="shared" si="10"/>
        <v>0.14196405383036437</v>
      </c>
    </row>
    <row r="26" spans="1:22" ht="16.2" thickBot="1" x14ac:dyDescent="0.35">
      <c r="A26" s="10">
        <v>24</v>
      </c>
      <c r="B26" s="12">
        <v>0.7</v>
      </c>
      <c r="C26" s="12">
        <v>4.0999999999999996</v>
      </c>
      <c r="D26" s="12">
        <v>4</v>
      </c>
      <c r="E26" s="12">
        <v>4</v>
      </c>
      <c r="F26" s="12">
        <v>4.0999999999999996</v>
      </c>
      <c r="G26" s="26">
        <v>9.5</v>
      </c>
      <c r="H26">
        <f t="shared" si="0"/>
        <v>38.949999999999996</v>
      </c>
      <c r="I26">
        <f t="shared" si="1"/>
        <v>16.809999999999999</v>
      </c>
      <c r="J26">
        <f t="shared" si="2"/>
        <v>90.25</v>
      </c>
      <c r="K26" s="5">
        <f t="shared" si="11"/>
        <v>11.386157697795246</v>
      </c>
      <c r="L26" s="65">
        <f t="shared" si="12"/>
        <v>0.19854291555739434</v>
      </c>
      <c r="M26" s="68">
        <f t="shared" si="13"/>
        <v>11.371572986024349</v>
      </c>
      <c r="N26" s="65">
        <f t="shared" si="14"/>
        <v>0.19700768273940514</v>
      </c>
      <c r="O26" s="70">
        <f t="shared" si="3"/>
        <v>11.364832</v>
      </c>
      <c r="P26" s="69">
        <f t="shared" si="4"/>
        <v>0.19629810526315788</v>
      </c>
      <c r="Q26" s="71">
        <f t="shared" si="5"/>
        <v>11.243248418122437</v>
      </c>
      <c r="R26" s="69">
        <f t="shared" si="6"/>
        <v>0.18349983348657237</v>
      </c>
      <c r="S26" s="71">
        <f t="shared" si="7"/>
        <v>11.534740269355906</v>
      </c>
      <c r="T26" s="69">
        <f t="shared" si="8"/>
        <v>0.21418318624799007</v>
      </c>
      <c r="U26">
        <f t="shared" si="9"/>
        <v>10.759670909397126</v>
      </c>
      <c r="V26" s="69">
        <f t="shared" si="10"/>
        <v>0.13259693783127646</v>
      </c>
    </row>
    <row r="27" spans="1:22" ht="16.2" thickBot="1" x14ac:dyDescent="0.35">
      <c r="A27" s="10">
        <v>25</v>
      </c>
      <c r="B27" s="12">
        <v>1</v>
      </c>
      <c r="C27" s="12">
        <v>6</v>
      </c>
      <c r="D27" s="12">
        <v>5.4</v>
      </c>
      <c r="E27" s="12">
        <v>4.7</v>
      </c>
      <c r="F27" s="12">
        <v>5.7</v>
      </c>
      <c r="G27" s="26">
        <v>12.7</v>
      </c>
      <c r="H27">
        <f t="shared" si="0"/>
        <v>72.39</v>
      </c>
      <c r="I27">
        <f t="shared" si="1"/>
        <v>32.49</v>
      </c>
      <c r="J27">
        <f t="shared" si="2"/>
        <v>161.29</v>
      </c>
      <c r="K27" s="5">
        <f t="shared" si="11"/>
        <v>13.901181791261745</v>
      </c>
      <c r="L27" s="65">
        <f t="shared" si="12"/>
        <v>9.4581243406436699E-2</v>
      </c>
      <c r="M27" s="68">
        <f t="shared" si="13"/>
        <v>13.834379582284958</v>
      </c>
      <c r="N27" s="65">
        <f t="shared" si="14"/>
        <v>8.9321226951571575E-2</v>
      </c>
      <c r="O27" s="70">
        <f t="shared" si="3"/>
        <v>13.894368</v>
      </c>
      <c r="P27" s="69">
        <f t="shared" si="4"/>
        <v>9.4044724409448888E-2</v>
      </c>
      <c r="Q27" s="71">
        <f t="shared" si="5"/>
        <v>13.847265937097294</v>
      </c>
      <c r="R27" s="69">
        <f t="shared" si="6"/>
        <v>9.0335900558842122E-2</v>
      </c>
      <c r="S27" s="71">
        <f t="shared" si="7"/>
        <v>13.872625836815768</v>
      </c>
      <c r="T27" s="69">
        <f t="shared" si="8"/>
        <v>9.2332743056359745E-2</v>
      </c>
      <c r="U27">
        <f t="shared" si="9"/>
        <v>14.15128952035213</v>
      </c>
      <c r="V27" s="69">
        <f t="shared" si="10"/>
        <v>0.11427476538205751</v>
      </c>
    </row>
    <row r="28" spans="1:22" ht="16.2" thickBot="1" x14ac:dyDescent="0.35">
      <c r="A28" s="10">
        <v>26</v>
      </c>
      <c r="B28" s="12">
        <v>1</v>
      </c>
      <c r="C28" s="12">
        <v>4.3</v>
      </c>
      <c r="D28" s="12">
        <v>4.5999999999999996</v>
      </c>
      <c r="E28" s="12">
        <v>4.9000000000000004</v>
      </c>
      <c r="F28" s="12">
        <v>4.7</v>
      </c>
      <c r="G28" s="26">
        <v>11.6</v>
      </c>
      <c r="H28">
        <f t="shared" si="0"/>
        <v>54.52</v>
      </c>
      <c r="I28">
        <f t="shared" si="1"/>
        <v>22.090000000000003</v>
      </c>
      <c r="J28">
        <f t="shared" si="2"/>
        <v>134.56</v>
      </c>
      <c r="K28" s="5">
        <f t="shared" si="11"/>
        <v>12.329291732845185</v>
      </c>
      <c r="L28" s="65">
        <f t="shared" si="12"/>
        <v>6.286997696941253E-2</v>
      </c>
      <c r="M28" s="68">
        <f t="shared" si="13"/>
        <v>12.334239408340984</v>
      </c>
      <c r="N28" s="65">
        <f t="shared" si="14"/>
        <v>6.3296500719050408E-2</v>
      </c>
      <c r="O28" s="70">
        <f t="shared" si="3"/>
        <v>12.289888000000001</v>
      </c>
      <c r="P28" s="69">
        <f t="shared" si="4"/>
        <v>5.9473103448276006E-2</v>
      </c>
      <c r="Q28" s="71">
        <f t="shared" si="5"/>
        <v>12.156789349085244</v>
      </c>
      <c r="R28" s="69">
        <f t="shared" si="6"/>
        <v>4.7999081817693488E-2</v>
      </c>
      <c r="S28" s="71">
        <f t="shared" si="7"/>
        <v>12.503839293096213</v>
      </c>
      <c r="T28" s="69">
        <f t="shared" si="8"/>
        <v>7.7917180439328756E-2</v>
      </c>
      <c r="U28">
        <f t="shared" si="9"/>
        <v>11.807298885528695</v>
      </c>
      <c r="V28" s="69">
        <f t="shared" si="10"/>
        <v>1.7870593580059956E-2</v>
      </c>
    </row>
    <row r="29" spans="1:22" ht="16.2" thickBot="1" x14ac:dyDescent="0.35">
      <c r="A29" s="10">
        <v>27</v>
      </c>
      <c r="B29" s="12">
        <v>1</v>
      </c>
      <c r="C29" s="12">
        <v>3.9</v>
      </c>
      <c r="D29" s="12">
        <v>4</v>
      </c>
      <c r="E29" s="12">
        <v>5.0999999999999996</v>
      </c>
      <c r="F29" s="12">
        <v>5.0999999999999996</v>
      </c>
      <c r="G29" s="26">
        <v>11.7</v>
      </c>
      <c r="H29">
        <f t="shared" si="0"/>
        <v>59.669999999999995</v>
      </c>
      <c r="I29">
        <f t="shared" si="1"/>
        <v>26.009999999999998</v>
      </c>
      <c r="J29">
        <f t="shared" si="2"/>
        <v>136.88999999999999</v>
      </c>
      <c r="K29" s="5">
        <f t="shared" si="11"/>
        <v>12.958047756211808</v>
      </c>
      <c r="L29" s="65">
        <f t="shared" si="12"/>
        <v>0.10752544924887258</v>
      </c>
      <c r="M29" s="68">
        <f t="shared" si="13"/>
        <v>12.948468456863292</v>
      </c>
      <c r="N29" s="65">
        <f t="shared" si="14"/>
        <v>0.10670670571481136</v>
      </c>
      <c r="O29" s="70">
        <f t="shared" si="3"/>
        <v>12.922272</v>
      </c>
      <c r="P29" s="69">
        <f t="shared" si="4"/>
        <v>0.10446769230769233</v>
      </c>
      <c r="Q29" s="71">
        <f t="shared" si="5"/>
        <v>12.806691501511034</v>
      </c>
      <c r="R29" s="69">
        <f t="shared" si="6"/>
        <v>9.4589017223165386E-2</v>
      </c>
      <c r="S29" s="71">
        <f t="shared" si="7"/>
        <v>13.083402097764148</v>
      </c>
      <c r="T29" s="69">
        <f t="shared" si="8"/>
        <v>0.11823949553539737</v>
      </c>
      <c r="U29">
        <f t="shared" si="9"/>
        <v>11.780909441876492</v>
      </c>
      <c r="V29" s="69">
        <f t="shared" si="10"/>
        <v>6.9153369125207571E-3</v>
      </c>
    </row>
    <row r="30" spans="1:22" ht="16.2" thickBot="1" x14ac:dyDescent="0.35">
      <c r="A30" s="10">
        <v>28</v>
      </c>
      <c r="B30" s="12">
        <v>1</v>
      </c>
      <c r="C30" s="12">
        <v>5.0999999999999996</v>
      </c>
      <c r="D30" s="12">
        <v>4.9000000000000004</v>
      </c>
      <c r="E30" s="12">
        <v>5.0999999999999996</v>
      </c>
      <c r="F30" s="12">
        <v>5</v>
      </c>
      <c r="G30" s="26">
        <v>11.9</v>
      </c>
      <c r="H30">
        <f t="shared" si="0"/>
        <v>59.5</v>
      </c>
      <c r="I30">
        <f t="shared" si="1"/>
        <v>25</v>
      </c>
      <c r="J30">
        <f t="shared" si="2"/>
        <v>141.61000000000001</v>
      </c>
      <c r="K30" s="5">
        <f t="shared" si="11"/>
        <v>12.800858750370153</v>
      </c>
      <c r="L30" s="65">
        <f t="shared" si="12"/>
        <v>7.5702415997491848E-2</v>
      </c>
      <c r="M30" s="68">
        <f t="shared" si="13"/>
        <v>12.796797598817822</v>
      </c>
      <c r="N30" s="65">
        <f t="shared" si="14"/>
        <v>7.536114275780012E-2</v>
      </c>
      <c r="O30" s="70">
        <f t="shared" si="3"/>
        <v>12.763000000000002</v>
      </c>
      <c r="P30" s="69">
        <f t="shared" si="4"/>
        <v>7.2521008403361453E-2</v>
      </c>
      <c r="Q30" s="71">
        <f t="shared" si="5"/>
        <v>12.641029180128863</v>
      </c>
      <c r="R30" s="69">
        <f t="shared" si="6"/>
        <v>6.2271359674694299E-2</v>
      </c>
      <c r="S30" s="71">
        <f t="shared" si="7"/>
        <v>12.942888595258646</v>
      </c>
      <c r="T30" s="69">
        <f t="shared" si="8"/>
        <v>8.7637697080558449E-2</v>
      </c>
      <c r="U30">
        <f t="shared" si="9"/>
        <v>12.488982756184736</v>
      </c>
      <c r="V30" s="69">
        <f t="shared" si="10"/>
        <v>4.9494349259221498E-2</v>
      </c>
    </row>
    <row r="31" spans="1:22" ht="16.2" thickBot="1" x14ac:dyDescent="0.35">
      <c r="A31" s="10">
        <v>29</v>
      </c>
      <c r="B31" s="12">
        <v>1</v>
      </c>
      <c r="C31" s="12">
        <v>3.9</v>
      </c>
      <c r="D31" s="12">
        <v>4.4000000000000004</v>
      </c>
      <c r="E31" s="12">
        <v>4.4000000000000004</v>
      </c>
      <c r="F31" s="12">
        <v>5</v>
      </c>
      <c r="G31" s="26">
        <v>10.8</v>
      </c>
      <c r="H31">
        <f t="shared" si="0"/>
        <v>54</v>
      </c>
      <c r="I31">
        <f t="shared" si="1"/>
        <v>25</v>
      </c>
      <c r="J31">
        <f t="shared" si="2"/>
        <v>116.64000000000001</v>
      </c>
      <c r="K31" s="5">
        <f t="shared" si="11"/>
        <v>12.800858750370153</v>
      </c>
      <c r="L31" s="65">
        <f t="shared" si="12"/>
        <v>0.18526469910834745</v>
      </c>
      <c r="M31" s="68">
        <f t="shared" si="13"/>
        <v>12.796797598817822</v>
      </c>
      <c r="N31" s="65">
        <f t="shared" si="14"/>
        <v>0.18488866655720565</v>
      </c>
      <c r="O31" s="70">
        <f t="shared" si="3"/>
        <v>12.763000000000002</v>
      </c>
      <c r="P31" s="69">
        <f t="shared" si="4"/>
        <v>0.18175925925925934</v>
      </c>
      <c r="Q31" s="71">
        <f t="shared" si="5"/>
        <v>12.641029180128863</v>
      </c>
      <c r="R31" s="69">
        <f t="shared" si="6"/>
        <v>0.17046566482674647</v>
      </c>
      <c r="S31" s="71">
        <f t="shared" si="7"/>
        <v>12.942888595258646</v>
      </c>
      <c r="T31" s="69">
        <f t="shared" si="8"/>
        <v>0.19841561067209676</v>
      </c>
      <c r="U31">
        <f t="shared" si="9"/>
        <v>12.252148651940374</v>
      </c>
      <c r="V31" s="69">
        <f t="shared" si="10"/>
        <v>0.1344582085129975</v>
      </c>
    </row>
    <row r="32" spans="1:22" ht="16.2" thickBot="1" x14ac:dyDescent="0.35">
      <c r="A32" s="10">
        <v>30</v>
      </c>
      <c r="B32" s="12">
        <v>1</v>
      </c>
      <c r="C32" s="12">
        <v>4.5</v>
      </c>
      <c r="D32" s="12">
        <v>3.7</v>
      </c>
      <c r="E32" s="12">
        <v>3.9</v>
      </c>
      <c r="F32" s="12">
        <v>2.9</v>
      </c>
      <c r="G32" s="26">
        <v>8.5</v>
      </c>
      <c r="H32">
        <f t="shared" si="0"/>
        <v>24.65</v>
      </c>
      <c r="I32">
        <f t="shared" si="1"/>
        <v>8.41</v>
      </c>
      <c r="J32">
        <f t="shared" si="2"/>
        <v>72.25</v>
      </c>
      <c r="K32" s="5">
        <f t="shared" si="11"/>
        <v>9.4998896276953726</v>
      </c>
      <c r="L32" s="65">
        <f t="shared" si="12"/>
        <v>0.11763407384651442</v>
      </c>
      <c r="M32" s="68">
        <f t="shared" si="13"/>
        <v>9.2542442362574668</v>
      </c>
      <c r="N32" s="65">
        <f t="shared" si="14"/>
        <v>8.8734616030290217E-2</v>
      </c>
      <c r="O32" s="70">
        <f t="shared" si="3"/>
        <v>9.5993919999999999</v>
      </c>
      <c r="P32" s="69">
        <f t="shared" si="4"/>
        <v>0.12934023529411764</v>
      </c>
      <c r="Q32" s="71">
        <f t="shared" si="5"/>
        <v>9.6169561672784241</v>
      </c>
      <c r="R32" s="69">
        <f t="shared" si="6"/>
        <v>0.13140660791510872</v>
      </c>
      <c r="S32" s="71">
        <f t="shared" si="7"/>
        <v>9.0776679764771728</v>
      </c>
      <c r="T32" s="69">
        <f t="shared" si="8"/>
        <v>6.7960938409079158E-2</v>
      </c>
      <c r="U32">
        <f t="shared" si="9"/>
        <v>10.238991315689974</v>
      </c>
      <c r="V32" s="69">
        <f t="shared" si="10"/>
        <v>0.20458721361058518</v>
      </c>
    </row>
    <row r="33" spans="1:22" ht="16.2" thickBot="1" x14ac:dyDescent="0.35">
      <c r="A33" s="10">
        <v>31</v>
      </c>
      <c r="B33" s="12">
        <v>1</v>
      </c>
      <c r="C33" s="12">
        <v>5.2</v>
      </c>
      <c r="D33" s="12">
        <v>4.3</v>
      </c>
      <c r="E33" s="12">
        <v>6</v>
      </c>
      <c r="F33" s="12">
        <v>5</v>
      </c>
      <c r="G33" s="26">
        <v>10.7</v>
      </c>
      <c r="H33">
        <f t="shared" si="0"/>
        <v>53.5</v>
      </c>
      <c r="I33">
        <f t="shared" si="1"/>
        <v>25</v>
      </c>
      <c r="J33">
        <f t="shared" si="2"/>
        <v>114.48999999999998</v>
      </c>
      <c r="K33" s="5">
        <f t="shared" si="11"/>
        <v>12.800858750370153</v>
      </c>
      <c r="L33" s="65">
        <f t="shared" si="12"/>
        <v>0.19634193928693031</v>
      </c>
      <c r="M33" s="68">
        <f t="shared" si="13"/>
        <v>12.796797598817822</v>
      </c>
      <c r="N33" s="65">
        <f t="shared" si="14"/>
        <v>0.1959623924128806</v>
      </c>
      <c r="O33" s="70">
        <f t="shared" si="3"/>
        <v>12.763000000000002</v>
      </c>
      <c r="P33" s="69">
        <f t="shared" si="4"/>
        <v>0.19280373831775724</v>
      </c>
      <c r="Q33" s="71">
        <f t="shared" si="5"/>
        <v>12.641029180128863</v>
      </c>
      <c r="R33" s="69">
        <f t="shared" si="6"/>
        <v>0.18140459627372554</v>
      </c>
      <c r="S33" s="71">
        <f t="shared" si="7"/>
        <v>12.942888595258646</v>
      </c>
      <c r="T33" s="69">
        <f t="shared" si="8"/>
        <v>0.20961575656622866</v>
      </c>
      <c r="U33">
        <f t="shared" si="9"/>
        <v>11.757731953406696</v>
      </c>
      <c r="V33" s="69">
        <f t="shared" si="10"/>
        <v>9.8853453589410875E-2</v>
      </c>
    </row>
    <row r="34" spans="1:22" ht="16.2" thickBot="1" x14ac:dyDescent="0.35">
      <c r="A34" s="10">
        <v>32</v>
      </c>
      <c r="B34" s="12">
        <v>0.8</v>
      </c>
      <c r="C34" s="12">
        <v>4.2</v>
      </c>
      <c r="D34" s="12">
        <v>3.8</v>
      </c>
      <c r="E34" s="12">
        <v>4.7</v>
      </c>
      <c r="F34" s="12">
        <v>3</v>
      </c>
      <c r="G34" s="26">
        <v>9.1</v>
      </c>
      <c r="H34">
        <f t="shared" si="0"/>
        <v>27.299999999999997</v>
      </c>
      <c r="I34">
        <f t="shared" si="1"/>
        <v>9</v>
      </c>
      <c r="J34">
        <f t="shared" si="2"/>
        <v>82.809999999999988</v>
      </c>
      <c r="K34" s="5">
        <f t="shared" si="11"/>
        <v>9.6570786335370293</v>
      </c>
      <c r="L34" s="65">
        <f t="shared" si="12"/>
        <v>6.1217432256816452E-2</v>
      </c>
      <c r="M34" s="68">
        <f t="shared" si="13"/>
        <v>9.4428109493438193</v>
      </c>
      <c r="N34" s="65">
        <f t="shared" si="14"/>
        <v>3.7671532894925232E-2</v>
      </c>
      <c r="O34" s="70">
        <f t="shared" si="3"/>
        <v>9.7422000000000004</v>
      </c>
      <c r="P34" s="69">
        <f t="shared" si="4"/>
        <v>7.057142857142866E-2</v>
      </c>
      <c r="Q34" s="71">
        <f t="shared" si="5"/>
        <v>9.7429876209361961</v>
      </c>
      <c r="R34" s="69">
        <f t="shared" si="6"/>
        <v>7.065798032265895E-2</v>
      </c>
      <c r="S34" s="71">
        <f t="shared" si="7"/>
        <v>9.3182232167023056</v>
      </c>
      <c r="T34" s="69">
        <f t="shared" si="8"/>
        <v>2.3980573263989665E-2</v>
      </c>
      <c r="U34">
        <f t="shared" si="9"/>
        <v>9.2232758190352815</v>
      </c>
      <c r="V34" s="69">
        <f t="shared" si="10"/>
        <v>1.3546793300580423E-2</v>
      </c>
    </row>
    <row r="35" spans="1:22" ht="16.2" thickBot="1" x14ac:dyDescent="0.35">
      <c r="A35" s="10">
        <v>33</v>
      </c>
      <c r="B35" s="12">
        <v>1</v>
      </c>
      <c r="C35" s="12">
        <v>3.3</v>
      </c>
      <c r="D35" s="12">
        <v>3.5</v>
      </c>
      <c r="E35" s="12">
        <v>4.5</v>
      </c>
      <c r="F35" s="12">
        <v>4.3</v>
      </c>
      <c r="G35" s="26">
        <v>12.1</v>
      </c>
      <c r="H35">
        <f t="shared" si="0"/>
        <v>52.029999999999994</v>
      </c>
      <c r="I35">
        <f t="shared" si="1"/>
        <v>18.489999999999998</v>
      </c>
      <c r="J35">
        <f t="shared" si="2"/>
        <v>146.41</v>
      </c>
      <c r="K35" s="5">
        <f t="shared" si="11"/>
        <v>11.700535709478558</v>
      </c>
      <c r="L35" s="65">
        <f t="shared" si="12"/>
        <v>3.3013577729044764E-2</v>
      </c>
      <c r="M35" s="68">
        <f t="shared" si="13"/>
        <v>11.698438047042721</v>
      </c>
      <c r="N35" s="65">
        <f t="shared" si="14"/>
        <v>3.3186938260932108E-2</v>
      </c>
      <c r="O35" s="70">
        <f t="shared" si="3"/>
        <v>11.670048000000001</v>
      </c>
      <c r="P35" s="69">
        <f t="shared" si="4"/>
        <v>3.5533223140495729E-2</v>
      </c>
      <c r="Q35" s="71">
        <f t="shared" si="5"/>
        <v>11.539867830859773</v>
      </c>
      <c r="R35" s="69">
        <f t="shared" si="6"/>
        <v>4.6291914804977401E-2</v>
      </c>
      <c r="S35" s="71">
        <f t="shared" si="7"/>
        <v>11.87269461656896</v>
      </c>
      <c r="T35" s="69">
        <f t="shared" si="8"/>
        <v>1.8785568878598283E-2</v>
      </c>
      <c r="U35">
        <f t="shared" si="9"/>
        <v>10.830545623418239</v>
      </c>
      <c r="V35" s="69">
        <f t="shared" si="10"/>
        <v>0.10491358484146786</v>
      </c>
    </row>
    <row r="36" spans="1:22" ht="16.2" thickBot="1" x14ac:dyDescent="0.35">
      <c r="A36" s="10">
        <v>34</v>
      </c>
      <c r="B36" s="12">
        <v>1</v>
      </c>
      <c r="C36" s="12">
        <v>6.8</v>
      </c>
      <c r="D36" s="12">
        <v>5</v>
      </c>
      <c r="E36" s="12">
        <v>5.2</v>
      </c>
      <c r="F36" s="12">
        <v>6</v>
      </c>
      <c r="G36" s="26">
        <v>14.9</v>
      </c>
      <c r="H36">
        <f t="shared" si="0"/>
        <v>89.4</v>
      </c>
      <c r="I36">
        <f t="shared" si="1"/>
        <v>36</v>
      </c>
      <c r="J36">
        <f t="shared" si="2"/>
        <v>222.01000000000002</v>
      </c>
      <c r="K36" s="5">
        <f t="shared" si="11"/>
        <v>14.372748808786714</v>
      </c>
      <c r="L36" s="65">
        <f t="shared" si="12"/>
        <v>3.53859859874689E-2</v>
      </c>
      <c r="M36" s="68">
        <f t="shared" si="13"/>
        <v>14.263107069636318</v>
      </c>
      <c r="N36" s="65">
        <f t="shared" si="14"/>
        <v>4.2744491970716947E-2</v>
      </c>
      <c r="O36" s="70">
        <f t="shared" si="3"/>
        <v>14.391000000000002</v>
      </c>
      <c r="P36" s="69">
        <f t="shared" si="4"/>
        <v>3.4161073825503256E-2</v>
      </c>
      <c r="Q36" s="71">
        <f t="shared" si="5"/>
        <v>14.398842305268928</v>
      </c>
      <c r="R36" s="69">
        <f t="shared" si="6"/>
        <v>3.3634744612823612E-2</v>
      </c>
      <c r="S36" s="71">
        <f t="shared" si="7"/>
        <v>14.23658766580151</v>
      </c>
      <c r="T36" s="69">
        <f t="shared" si="8"/>
        <v>4.4524317731442303E-2</v>
      </c>
      <c r="U36">
        <f t="shared" si="9"/>
        <v>14.436557516700805</v>
      </c>
      <c r="V36" s="69">
        <f t="shared" si="10"/>
        <v>3.1103522369073492E-2</v>
      </c>
    </row>
    <row r="37" spans="1:22" ht="16.2" thickBot="1" x14ac:dyDescent="0.35">
      <c r="A37" s="10">
        <v>35</v>
      </c>
      <c r="B37" s="12">
        <v>0.8</v>
      </c>
      <c r="C37" s="12">
        <v>5</v>
      </c>
      <c r="D37" s="12">
        <v>5.7</v>
      </c>
      <c r="E37" s="12">
        <v>4.8</v>
      </c>
      <c r="F37" s="12">
        <v>5.5</v>
      </c>
      <c r="G37" s="26">
        <v>13.5</v>
      </c>
      <c r="H37">
        <f t="shared" si="0"/>
        <v>74.25</v>
      </c>
      <c r="I37">
        <f t="shared" si="1"/>
        <v>30.25</v>
      </c>
      <c r="J37">
        <f t="shared" si="2"/>
        <v>182.25</v>
      </c>
      <c r="K37" s="5">
        <f t="shared" si="11"/>
        <v>13.586803779578432</v>
      </c>
      <c r="L37" s="65">
        <f t="shared" si="12"/>
        <v>6.4299095984023539E-3</v>
      </c>
      <c r="M37" s="68">
        <f t="shared" si="13"/>
        <v>13.543469954877548</v>
      </c>
      <c r="N37" s="65">
        <f t="shared" si="14"/>
        <v>3.2199966575961244E-3</v>
      </c>
      <c r="O37" s="70">
        <f t="shared" si="3"/>
        <v>13.5672</v>
      </c>
      <c r="P37" s="69">
        <f t="shared" si="4"/>
        <v>4.9777777777777555E-3</v>
      </c>
      <c r="Q37" s="71">
        <f t="shared" si="5"/>
        <v>13.491337433367324</v>
      </c>
      <c r="R37" s="69">
        <f t="shared" si="6"/>
        <v>6.4167160242044894E-4</v>
      </c>
      <c r="S37" s="71">
        <f t="shared" si="7"/>
        <v>13.619181038096194</v>
      </c>
      <c r="T37" s="69">
        <f t="shared" si="8"/>
        <v>8.828225044162516E-3</v>
      </c>
      <c r="U37">
        <f t="shared" si="9"/>
        <v>12.980730877143397</v>
      </c>
      <c r="V37" s="69">
        <f t="shared" si="10"/>
        <v>3.8464379470859456E-2</v>
      </c>
    </row>
    <row r="38" spans="1:22" ht="16.2" thickBot="1" x14ac:dyDescent="0.35">
      <c r="A38" s="10">
        <v>36</v>
      </c>
      <c r="B38" s="12">
        <v>0.8</v>
      </c>
      <c r="C38" s="12">
        <v>3.5</v>
      </c>
      <c r="D38" s="12">
        <v>4.7</v>
      </c>
      <c r="E38" s="12">
        <v>3.3</v>
      </c>
      <c r="F38" s="12">
        <v>4.2</v>
      </c>
      <c r="G38" s="26">
        <v>12.2</v>
      </c>
      <c r="H38">
        <f t="shared" si="0"/>
        <v>51.24</v>
      </c>
      <c r="I38">
        <f t="shared" si="1"/>
        <v>17.64</v>
      </c>
      <c r="J38">
        <f t="shared" si="2"/>
        <v>148.83999999999997</v>
      </c>
      <c r="K38" s="5">
        <f t="shared" si="11"/>
        <v>11.543346703636903</v>
      </c>
      <c r="L38" s="65">
        <f t="shared" si="12"/>
        <v>5.3824040685499695E-2</v>
      </c>
      <c r="M38" s="68">
        <f t="shared" si="13"/>
        <v>11.535793578247214</v>
      </c>
      <c r="N38" s="65">
        <f t="shared" si="14"/>
        <v>5.4443149323998831E-2</v>
      </c>
      <c r="O38" s="70">
        <f t="shared" si="3"/>
        <v>11.517048000000001</v>
      </c>
      <c r="P38" s="69">
        <f t="shared" si="4"/>
        <v>5.597967213114742E-2</v>
      </c>
      <c r="Q38" s="71">
        <f t="shared" si="5"/>
        <v>11.390592641941691</v>
      </c>
      <c r="R38" s="69">
        <f t="shared" si="6"/>
        <v>6.6344865414615456E-2</v>
      </c>
      <c r="S38" s="71">
        <f t="shared" si="7"/>
        <v>11.705729266095448</v>
      </c>
      <c r="T38" s="69">
        <f t="shared" si="8"/>
        <v>4.0513994582340292E-2</v>
      </c>
      <c r="U38">
        <f t="shared" si="9"/>
        <v>11.490938261902969</v>
      </c>
      <c r="V38" s="69">
        <f t="shared" si="10"/>
        <v>5.8119814598117277E-2</v>
      </c>
    </row>
    <row r="39" spans="1:22" ht="16.2" thickBot="1" x14ac:dyDescent="0.35">
      <c r="A39" s="10">
        <v>37</v>
      </c>
      <c r="B39" s="12">
        <v>0.8</v>
      </c>
      <c r="C39" s="12">
        <v>4.3</v>
      </c>
      <c r="D39" s="12">
        <v>5.5</v>
      </c>
      <c r="E39" s="12">
        <v>5.8</v>
      </c>
      <c r="F39" s="12">
        <v>3.5</v>
      </c>
      <c r="G39" s="26">
        <v>10.3</v>
      </c>
      <c r="H39">
        <f t="shared" si="0"/>
        <v>36.050000000000004</v>
      </c>
      <c r="I39">
        <f t="shared" si="1"/>
        <v>12.25</v>
      </c>
      <c r="J39">
        <f t="shared" si="2"/>
        <v>106.09000000000002</v>
      </c>
      <c r="K39" s="5">
        <f t="shared" si="11"/>
        <v>10.443023662745309</v>
      </c>
      <c r="L39" s="65">
        <f t="shared" si="12"/>
        <v>1.3885792499544539E-2</v>
      </c>
      <c r="M39" s="68">
        <f t="shared" si="13"/>
        <v>10.349863801894324</v>
      </c>
      <c r="N39" s="65">
        <f t="shared" si="14"/>
        <v>4.8411458149828735E-3</v>
      </c>
      <c r="O39" s="70">
        <f t="shared" si="3"/>
        <v>10.468</v>
      </c>
      <c r="P39" s="69">
        <f t="shared" si="4"/>
        <v>1.6310679611650412E-2</v>
      </c>
      <c r="Q39" s="71">
        <f t="shared" si="5"/>
        <v>10.398356947850269</v>
      </c>
      <c r="R39" s="69">
        <f t="shared" si="6"/>
        <v>9.5492182378901329E-3</v>
      </c>
      <c r="S39" s="71">
        <f t="shared" si="7"/>
        <v>10.412030195552584</v>
      </c>
      <c r="T39" s="69">
        <f t="shared" si="8"/>
        <v>1.0876718014813869E-2</v>
      </c>
      <c r="U39">
        <f t="shared" si="9"/>
        <v>9.5676555767258904</v>
      </c>
      <c r="V39" s="69">
        <f t="shared" si="10"/>
        <v>7.1101400317874777E-2</v>
      </c>
    </row>
    <row r="40" spans="1:22" ht="16.2" thickBot="1" x14ac:dyDescent="0.35">
      <c r="A40" s="10">
        <v>38</v>
      </c>
      <c r="B40" s="13">
        <v>0.8</v>
      </c>
      <c r="C40" s="13">
        <v>5.2</v>
      </c>
      <c r="D40" s="13">
        <v>4.8</v>
      </c>
      <c r="E40" s="13">
        <v>3.5</v>
      </c>
      <c r="F40" s="13">
        <v>5.7</v>
      </c>
      <c r="G40" s="27">
        <v>13.2</v>
      </c>
      <c r="H40">
        <f t="shared" si="0"/>
        <v>75.239999999999995</v>
      </c>
      <c r="I40">
        <f t="shared" si="1"/>
        <v>32.49</v>
      </c>
      <c r="J40">
        <f t="shared" si="2"/>
        <v>174.23999999999998</v>
      </c>
      <c r="K40" s="5">
        <f t="shared" si="11"/>
        <v>13.901181791261745</v>
      </c>
      <c r="L40" s="65">
        <f t="shared" si="12"/>
        <v>5.3119832671344396E-2</v>
      </c>
      <c r="M40" s="68">
        <f t="shared" si="13"/>
        <v>13.834379582284958</v>
      </c>
      <c r="N40" s="65">
        <f t="shared" si="14"/>
        <v>4.8059059264012043E-2</v>
      </c>
      <c r="O40" s="70">
        <f t="shared" si="3"/>
        <v>13.894368</v>
      </c>
      <c r="P40" s="69">
        <f t="shared" si="4"/>
        <v>5.2603636363636422E-2</v>
      </c>
      <c r="Q40" s="71">
        <f t="shared" si="5"/>
        <v>13.847265937097294</v>
      </c>
      <c r="R40" s="69">
        <f t="shared" si="6"/>
        <v>4.9035298264946584E-2</v>
      </c>
      <c r="S40" s="71">
        <f t="shared" si="7"/>
        <v>13.872625836815768</v>
      </c>
      <c r="T40" s="69">
        <f t="shared" si="8"/>
        <v>5.0956502789073391E-2</v>
      </c>
      <c r="U40">
        <f t="shared" si="9"/>
        <v>13.95427388901893</v>
      </c>
      <c r="V40" s="69">
        <f t="shared" si="10"/>
        <v>5.7141961289312947E-2</v>
      </c>
    </row>
    <row r="41" spans="1:22" x14ac:dyDescent="0.3">
      <c r="A41" s="20" t="s">
        <v>9</v>
      </c>
      <c r="B41" s="18" t="s">
        <v>10</v>
      </c>
      <c r="C41" s="18" t="s">
        <v>11</v>
      </c>
      <c r="D41" s="18" t="s">
        <v>12</v>
      </c>
      <c r="E41" s="18" t="s">
        <v>14</v>
      </c>
      <c r="F41" s="19" t="s">
        <v>33</v>
      </c>
      <c r="G41" s="19" t="s">
        <v>8</v>
      </c>
      <c r="H41" s="18" t="s">
        <v>27</v>
      </c>
      <c r="I41" s="18" t="s">
        <v>5</v>
      </c>
      <c r="J41" s="18" t="s">
        <v>28</v>
      </c>
      <c r="L41" s="66">
        <f>AVERAGE(L3:L40)</f>
        <v>8.2548316833585836E-2</v>
      </c>
      <c r="N41" s="66">
        <f>AVERAGE(N3:N40)</f>
        <v>8.2238684426588493E-2</v>
      </c>
      <c r="P41" s="66">
        <f>AVERAGE(P3:P40)</f>
        <v>8.2866539082916899E-2</v>
      </c>
      <c r="R41" s="66">
        <f>AVERAGE(R3:R40)</f>
        <v>8.3112758952719301E-2</v>
      </c>
      <c r="T41" s="66">
        <f>AVERAGE(T3:T40)</f>
        <v>8.3565129746552141E-2</v>
      </c>
      <c r="V41" s="66">
        <f>AVERAGE(V3:V40)</f>
        <v>7.3977492581235274E-2</v>
      </c>
    </row>
    <row r="42" spans="1:22" s="4" customFormat="1" x14ac:dyDescent="0.3">
      <c r="A42" s="21"/>
      <c r="B42" s="21"/>
      <c r="C42" s="21"/>
      <c r="D42" s="21"/>
      <c r="E42" s="21" t="s">
        <v>186</v>
      </c>
      <c r="F42" s="21">
        <f>SUM(F3:F40)</f>
        <v>181.2</v>
      </c>
      <c r="G42" s="21">
        <f t="shared" ref="G42:J42" si="15">SUM(G3:G40)</f>
        <v>472.6</v>
      </c>
      <c r="H42" s="21">
        <f t="shared" si="15"/>
        <v>2315.02</v>
      </c>
      <c r="I42" s="21">
        <f t="shared" si="15"/>
        <v>903.14</v>
      </c>
      <c r="J42" s="21">
        <f t="shared" si="15"/>
        <v>6032.4400000000014</v>
      </c>
    </row>
    <row r="43" spans="1:22" s="4" customFormat="1" x14ac:dyDescent="0.3">
      <c r="B43" s="4">
        <f>CORREL(B3:B40,$G$3:$G$40)</f>
        <v>2.8441306211204921E-2</v>
      </c>
      <c r="C43" s="25">
        <f t="shared" ref="C43:F43" si="16">CORREL(C3:C40,$G$3:$G$40)</f>
        <v>0.70732432372010534</v>
      </c>
      <c r="D43" s="4">
        <f t="shared" si="16"/>
        <v>0.54870219255763164</v>
      </c>
      <c r="E43" s="4">
        <f t="shared" si="16"/>
        <v>-4.7040473065605076E-2</v>
      </c>
      <c r="F43" s="25">
        <f t="shared" si="16"/>
        <v>0.79004713478485067</v>
      </c>
      <c r="G43" s="7"/>
    </row>
    <row r="44" spans="1:22" s="4" customFormat="1" x14ac:dyDescent="0.3">
      <c r="E44" s="7"/>
      <c r="F44" s="7"/>
      <c r="G44" s="7"/>
    </row>
    <row r="46" spans="1:22" x14ac:dyDescent="0.3">
      <c r="E46" s="5" t="s">
        <v>29</v>
      </c>
      <c r="F46" s="5">
        <f>(H42/38)-(F42/38)*(G42/38)</f>
        <v>1.6174792243767371</v>
      </c>
      <c r="G46" s="5"/>
    </row>
    <row r="47" spans="1:22" x14ac:dyDescent="0.3">
      <c r="E47" s="17" t="s">
        <v>30</v>
      </c>
      <c r="F47" s="17">
        <f>(I42-(F42^2)/38)/38</f>
        <v>1.0290027700831059</v>
      </c>
      <c r="G47" s="5">
        <f>SQRT(F47)</f>
        <v>1.0143977376173046</v>
      </c>
    </row>
    <row r="48" spans="1:22" x14ac:dyDescent="0.3">
      <c r="E48" s="5" t="s">
        <v>31</v>
      </c>
      <c r="F48" s="17">
        <f>(J42-(G42^2)/38)/38</f>
        <v>4.0733795013850695</v>
      </c>
      <c r="G48" s="5">
        <f>SQRT(F48)</f>
        <v>2.0182615047077199</v>
      </c>
    </row>
    <row r="49" spans="6:7" x14ac:dyDescent="0.3">
      <c r="F49" s="23" t="s">
        <v>32</v>
      </c>
      <c r="G49" s="22">
        <f>F46/(G47*G48)</f>
        <v>0.79004713478484934</v>
      </c>
    </row>
    <row r="50" spans="6:7" x14ac:dyDescent="0.3">
      <c r="F50" s="16" t="s">
        <v>32</v>
      </c>
      <c r="G50" s="24">
        <f>CORREL(F3:F40,G3:G40)</f>
        <v>0.79004713478485067</v>
      </c>
    </row>
    <row r="51" spans="6:7" x14ac:dyDescent="0.3">
      <c r="F51" s="25" t="s">
        <v>34</v>
      </c>
      <c r="G51" s="25">
        <f>G49*G48/G47</f>
        <v>1.5718900584165616</v>
      </c>
    </row>
    <row r="52" spans="6:7" x14ac:dyDescent="0.3">
      <c r="F52" s="25" t="s">
        <v>35</v>
      </c>
      <c r="G52" s="25">
        <f>(G42-G51*F42)/38</f>
        <v>4.9414084582873441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autoPict="0" r:id="rId5">
            <anchor moveWithCells="1">
              <from>
                <xdr:col>0</xdr:col>
                <xdr:colOff>45720</xdr:colOff>
                <xdr:row>44</xdr:row>
                <xdr:rowOff>53340</xdr:rowOff>
              </from>
              <to>
                <xdr:col>2</xdr:col>
                <xdr:colOff>259080</xdr:colOff>
                <xdr:row>47</xdr:row>
                <xdr:rowOff>121920</xdr:rowOff>
              </to>
            </anchor>
          </objectPr>
        </oleObject>
      </mc:Choice>
      <mc:Fallback>
        <oleObject shapeId="3073" r:id="rId4"/>
      </mc:Fallback>
    </mc:AlternateContent>
    <mc:AlternateContent xmlns:mc="http://schemas.openxmlformats.org/markup-compatibility/2006">
      <mc:Choice Requires="x14">
        <oleObject shapeId="3074" r:id="rId6">
          <objectPr defaultSize="0" autoPict="0" r:id="rId7">
            <anchor moveWithCells="1">
              <from>
                <xdr:col>0</xdr:col>
                <xdr:colOff>0</xdr:colOff>
                <xdr:row>48</xdr:row>
                <xdr:rowOff>45720</xdr:rowOff>
              </from>
              <to>
                <xdr:col>4</xdr:col>
                <xdr:colOff>266700</xdr:colOff>
                <xdr:row>51</xdr:row>
                <xdr:rowOff>144780</xdr:rowOff>
              </to>
            </anchor>
          </objectPr>
        </oleObject>
      </mc:Choice>
      <mc:Fallback>
        <oleObject shapeId="3074" r:id="rId6"/>
      </mc:Fallback>
    </mc:AlternateContent>
    <mc:AlternateContent xmlns:mc="http://schemas.openxmlformats.org/markup-compatibility/2006">
      <mc:Choice Requires="x14">
        <oleObject shapeId="3075" r:id="rId8">
          <objectPr defaultSize="0" autoPict="0" r:id="rId9">
            <anchor moveWithCells="1">
              <from>
                <xdr:col>0</xdr:col>
                <xdr:colOff>38100</xdr:colOff>
                <xdr:row>52</xdr:row>
                <xdr:rowOff>91440</xdr:rowOff>
              </from>
              <to>
                <xdr:col>4</xdr:col>
                <xdr:colOff>106680</xdr:colOff>
                <xdr:row>57</xdr:row>
                <xdr:rowOff>114300</xdr:rowOff>
              </to>
            </anchor>
          </objectPr>
        </oleObject>
      </mc:Choice>
      <mc:Fallback>
        <oleObject shapeId="3075" r:id="rId8"/>
      </mc:Fallback>
    </mc:AlternateContent>
    <mc:AlternateContent xmlns:mc="http://schemas.openxmlformats.org/markup-compatibility/2006">
      <mc:Choice Requires="x14">
        <oleObject shapeId="3076" r:id="rId10">
          <objectPr defaultSize="0" autoPict="0" r:id="rId11">
            <anchor moveWithCells="1">
              <from>
                <xdr:col>0</xdr:col>
                <xdr:colOff>0</xdr:colOff>
                <xdr:row>58</xdr:row>
                <xdr:rowOff>121920</xdr:rowOff>
              </from>
              <to>
                <xdr:col>4</xdr:col>
                <xdr:colOff>121920</xdr:colOff>
                <xdr:row>63</xdr:row>
                <xdr:rowOff>137160</xdr:rowOff>
              </to>
            </anchor>
          </objectPr>
        </oleObject>
      </mc:Choice>
      <mc:Fallback>
        <oleObject shapeId="3076" r:id="rId10"/>
      </mc:Fallback>
    </mc:AlternateContent>
    <mc:AlternateContent xmlns:mc="http://schemas.openxmlformats.org/markup-compatibility/2006">
      <mc:Choice Requires="x14">
        <oleObject shapeId="3077" r:id="rId12">
          <objectPr defaultSize="0" autoPict="0" r:id="rId13">
            <anchor moveWithCells="1">
              <from>
                <xdr:col>0</xdr:col>
                <xdr:colOff>15240</xdr:colOff>
                <xdr:row>64</xdr:row>
                <xdr:rowOff>129540</xdr:rowOff>
              </from>
              <to>
                <xdr:col>4</xdr:col>
                <xdr:colOff>83820</xdr:colOff>
                <xdr:row>68</xdr:row>
                <xdr:rowOff>15240</xdr:rowOff>
              </to>
            </anchor>
          </objectPr>
        </oleObject>
      </mc:Choice>
      <mc:Fallback>
        <oleObject shapeId="3077" r:id="rId12"/>
      </mc:Fallback>
    </mc:AlternateContent>
    <mc:AlternateContent xmlns:mc="http://schemas.openxmlformats.org/markup-compatibility/2006">
      <mc:Choice Requires="x14">
        <oleObject shapeId="3078" r:id="rId14">
          <objectPr defaultSize="0" autoPict="0" r:id="rId15">
            <anchor moveWithCells="1">
              <from>
                <xdr:col>8</xdr:col>
                <xdr:colOff>579120</xdr:colOff>
                <xdr:row>57</xdr:row>
                <xdr:rowOff>91440</xdr:rowOff>
              </from>
              <to>
                <xdr:col>12</xdr:col>
                <xdr:colOff>83820</xdr:colOff>
                <xdr:row>61</xdr:row>
                <xdr:rowOff>60960</xdr:rowOff>
              </to>
            </anchor>
          </objectPr>
        </oleObject>
      </mc:Choice>
      <mc:Fallback>
        <oleObject shapeId="3078" r:id="rId14"/>
      </mc:Fallback>
    </mc:AlternateContent>
    <mc:AlternateContent xmlns:mc="http://schemas.openxmlformats.org/markup-compatibility/2006">
      <mc:Choice Requires="x14">
        <oleObject shapeId="3079" r:id="rId16">
          <objectPr defaultSize="0" autoPict="0" r:id="rId17">
            <anchor moveWithCells="1">
              <from>
                <xdr:col>5</xdr:col>
                <xdr:colOff>449580</xdr:colOff>
                <xdr:row>54</xdr:row>
                <xdr:rowOff>22860</xdr:rowOff>
              </from>
              <to>
                <xdr:col>7</xdr:col>
                <xdr:colOff>647700</xdr:colOff>
                <xdr:row>59</xdr:row>
                <xdr:rowOff>38100</xdr:rowOff>
              </to>
            </anchor>
          </objectPr>
        </oleObject>
      </mc:Choice>
      <mc:Fallback>
        <oleObject shapeId="3079" r:id="rId16"/>
      </mc:Fallback>
    </mc:AlternateContent>
    <mc:AlternateContent xmlns:mc="http://schemas.openxmlformats.org/markup-compatibility/2006">
      <mc:Choice Requires="x14">
        <oleObject shapeId="3080" r:id="rId18">
          <objectPr defaultSize="0" autoPict="0" r:id="rId19">
            <anchor moveWithCells="1">
              <from>
                <xdr:col>8</xdr:col>
                <xdr:colOff>114300</xdr:colOff>
                <xdr:row>52</xdr:row>
                <xdr:rowOff>152400</xdr:rowOff>
              </from>
              <to>
                <xdr:col>10</xdr:col>
                <xdr:colOff>563880</xdr:colOff>
                <xdr:row>56</xdr:row>
                <xdr:rowOff>38100</xdr:rowOff>
              </to>
            </anchor>
          </objectPr>
        </oleObject>
      </mc:Choice>
      <mc:Fallback>
        <oleObject shapeId="3080" r:id="rId18"/>
      </mc:Fallback>
    </mc:AlternateContent>
    <mc:AlternateContent xmlns:mc="http://schemas.openxmlformats.org/markup-compatibility/2006">
      <mc:Choice Requires="x14">
        <oleObject shapeId="3081" r:id="rId20">
          <objectPr defaultSize="0" autoPict="0" r:id="rId21">
            <anchor moveWithCells="1">
              <from>
                <xdr:col>7</xdr:col>
                <xdr:colOff>685800</xdr:colOff>
                <xdr:row>49</xdr:row>
                <xdr:rowOff>106680</xdr:rowOff>
              </from>
              <to>
                <xdr:col>10</xdr:col>
                <xdr:colOff>388620</xdr:colOff>
                <xdr:row>51</xdr:row>
                <xdr:rowOff>175260</xdr:rowOff>
              </to>
            </anchor>
          </objectPr>
        </oleObject>
      </mc:Choice>
      <mc:Fallback>
        <oleObject shapeId="3081" r:id="rId20"/>
      </mc:Fallback>
    </mc:AlternateContent>
    <mc:AlternateContent xmlns:mc="http://schemas.openxmlformats.org/markup-compatibility/2006">
      <mc:Choice Requires="x14">
        <oleObject shapeId="3082" r:id="rId22">
          <objectPr defaultSize="0" autoPict="0" r:id="rId15">
            <anchor moveWithCells="1">
              <from>
                <xdr:col>26</xdr:col>
                <xdr:colOff>198120</xdr:colOff>
                <xdr:row>4</xdr:row>
                <xdr:rowOff>22860</xdr:rowOff>
              </from>
              <to>
                <xdr:col>29</xdr:col>
                <xdr:colOff>312420</xdr:colOff>
                <xdr:row>7</xdr:row>
                <xdr:rowOff>114300</xdr:rowOff>
              </to>
            </anchor>
          </objectPr>
        </oleObject>
      </mc:Choice>
      <mc:Fallback>
        <oleObject shapeId="3082" r:id="rId22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518B-3296-4006-9C09-4AB7F3C94A04}">
  <dimension ref="A1:AL91"/>
  <sheetViews>
    <sheetView topLeftCell="S1" zoomScale="160" zoomScaleNormal="160" workbookViewId="0">
      <selection activeCell="AA11" sqref="AA11"/>
    </sheetView>
  </sheetViews>
  <sheetFormatPr defaultRowHeight="14.4" x14ac:dyDescent="0.3"/>
  <cols>
    <col min="1" max="1" width="10.5546875" bestFit="1" customWidth="1"/>
    <col min="5" max="5" width="12.6640625" customWidth="1"/>
    <col min="11" max="11" width="7.109375" customWidth="1"/>
    <col min="19" max="19" width="12.88671875" customWidth="1"/>
    <col min="20" max="20" width="9.88671875" customWidth="1"/>
    <col min="22" max="22" width="7.88671875" customWidth="1"/>
    <col min="23" max="23" width="11.109375" customWidth="1"/>
    <col min="30" max="30" width="7.21875" customWidth="1"/>
    <col min="31" max="31" width="11.21875" customWidth="1"/>
    <col min="34" max="34" width="11.88671875" customWidth="1"/>
  </cols>
  <sheetData>
    <row r="1" spans="1:38" x14ac:dyDescent="0.3">
      <c r="A1" t="s">
        <v>1</v>
      </c>
      <c r="B1" s="29" t="s">
        <v>37</v>
      </c>
      <c r="C1" t="s">
        <v>61</v>
      </c>
      <c r="D1" t="s">
        <v>62</v>
      </c>
      <c r="E1" t="s">
        <v>63</v>
      </c>
      <c r="F1" t="s">
        <v>64</v>
      </c>
      <c r="G1" s="29" t="s">
        <v>45</v>
      </c>
      <c r="H1" s="29" t="s">
        <v>39</v>
      </c>
      <c r="I1" s="29" t="s">
        <v>57</v>
      </c>
      <c r="J1" s="29" t="s">
        <v>55</v>
      </c>
      <c r="K1" s="29" t="s">
        <v>47</v>
      </c>
      <c r="L1" s="29" t="s">
        <v>38</v>
      </c>
      <c r="M1" s="29" t="s">
        <v>48</v>
      </c>
      <c r="N1" t="s">
        <v>65</v>
      </c>
      <c r="O1" t="s">
        <v>66</v>
      </c>
      <c r="P1" s="29" t="s">
        <v>51</v>
      </c>
      <c r="Q1" s="29" t="s">
        <v>42</v>
      </c>
      <c r="R1" t="s">
        <v>67</v>
      </c>
      <c r="S1" t="s">
        <v>68</v>
      </c>
      <c r="T1" s="29" t="s">
        <v>40</v>
      </c>
      <c r="U1" s="29" t="s">
        <v>52</v>
      </c>
      <c r="V1" s="29" t="s">
        <v>56</v>
      </c>
      <c r="W1" s="29" t="s">
        <v>49</v>
      </c>
      <c r="X1" s="29" t="s">
        <v>46</v>
      </c>
      <c r="Y1" s="29" t="s">
        <v>53</v>
      </c>
      <c r="Z1" s="29" t="s">
        <v>54</v>
      </c>
      <c r="AA1" s="29" t="s">
        <v>41</v>
      </c>
      <c r="AB1" s="29" t="s">
        <v>44</v>
      </c>
      <c r="AC1" s="29" t="s">
        <v>50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s="29" t="s">
        <v>43</v>
      </c>
      <c r="AL1" s="29" t="s">
        <v>58</v>
      </c>
    </row>
    <row r="2" spans="1:38" x14ac:dyDescent="0.3">
      <c r="A2" s="28">
        <v>42005</v>
      </c>
      <c r="B2" s="30">
        <v>895</v>
      </c>
      <c r="C2" s="31">
        <v>1063</v>
      </c>
      <c r="D2" s="31">
        <v>1054</v>
      </c>
      <c r="E2" s="31">
        <v>1041</v>
      </c>
      <c r="F2" s="31">
        <v>214</v>
      </c>
      <c r="G2" s="30">
        <v>252</v>
      </c>
      <c r="H2" s="30">
        <v>1135</v>
      </c>
      <c r="I2" s="30">
        <v>1319</v>
      </c>
      <c r="J2" s="30">
        <v>1798</v>
      </c>
      <c r="K2" s="30">
        <v>294</v>
      </c>
      <c r="L2" s="30">
        <v>9564</v>
      </c>
      <c r="M2" s="30">
        <v>346</v>
      </c>
      <c r="N2" s="31">
        <v>1254</v>
      </c>
      <c r="O2" s="31">
        <v>2723</v>
      </c>
      <c r="P2" s="30">
        <v>939</v>
      </c>
      <c r="Q2" s="30">
        <v>1221</v>
      </c>
      <c r="R2" s="31">
        <v>715</v>
      </c>
      <c r="S2" s="31">
        <v>739</v>
      </c>
      <c r="T2" s="30">
        <v>304</v>
      </c>
      <c r="U2" s="30">
        <v>29843</v>
      </c>
      <c r="V2" s="30">
        <v>29322</v>
      </c>
      <c r="W2" s="30">
        <v>668</v>
      </c>
      <c r="X2" s="30">
        <v>612</v>
      </c>
      <c r="Y2" s="30">
        <v>5575</v>
      </c>
      <c r="Z2" s="30">
        <v>6346</v>
      </c>
      <c r="AA2" s="30">
        <v>3920</v>
      </c>
      <c r="AB2" s="30">
        <v>9984</v>
      </c>
      <c r="AC2" s="30">
        <v>349</v>
      </c>
      <c r="AD2" s="31">
        <v>1868</v>
      </c>
      <c r="AE2" s="31">
        <v>606</v>
      </c>
      <c r="AF2" s="31">
        <v>1337</v>
      </c>
      <c r="AG2" s="31">
        <v>2389</v>
      </c>
      <c r="AH2" s="31">
        <v>1030</v>
      </c>
      <c r="AI2" s="31">
        <v>2086</v>
      </c>
      <c r="AJ2" s="31">
        <v>1413</v>
      </c>
      <c r="AK2" s="30">
        <v>1539</v>
      </c>
      <c r="AL2" s="31">
        <v>1457</v>
      </c>
    </row>
    <row r="3" spans="1:38" x14ac:dyDescent="0.3">
      <c r="A3" s="28">
        <v>42036</v>
      </c>
      <c r="B3" s="30">
        <v>1094</v>
      </c>
      <c r="C3" s="31">
        <v>1052</v>
      </c>
      <c r="D3" s="31">
        <v>1047</v>
      </c>
      <c r="E3" s="31">
        <v>1031</v>
      </c>
      <c r="F3" s="31">
        <v>452</v>
      </c>
      <c r="G3" s="30">
        <v>226</v>
      </c>
      <c r="H3" s="30">
        <v>927</v>
      </c>
      <c r="I3" s="30">
        <v>920</v>
      </c>
      <c r="J3" s="30">
        <v>1849</v>
      </c>
      <c r="K3" s="30">
        <v>497</v>
      </c>
      <c r="L3" s="30">
        <v>11118</v>
      </c>
      <c r="M3" s="30">
        <v>802</v>
      </c>
      <c r="N3" s="31">
        <v>1735</v>
      </c>
      <c r="O3" s="31">
        <v>3565</v>
      </c>
      <c r="P3" s="30">
        <v>980</v>
      </c>
      <c r="Q3" s="30">
        <v>1000</v>
      </c>
      <c r="R3" s="31">
        <v>644</v>
      </c>
      <c r="S3" s="31">
        <v>614</v>
      </c>
      <c r="T3" s="30">
        <v>551</v>
      </c>
      <c r="U3" s="30">
        <v>36573</v>
      </c>
      <c r="V3" s="30">
        <v>35522</v>
      </c>
      <c r="W3" s="30">
        <v>668</v>
      </c>
      <c r="X3" s="30">
        <v>565</v>
      </c>
      <c r="Y3" s="30">
        <v>4856</v>
      </c>
      <c r="Z3" s="30">
        <v>5846</v>
      </c>
      <c r="AA3" s="30">
        <v>3936</v>
      </c>
      <c r="AB3" s="30">
        <v>10536</v>
      </c>
      <c r="AC3" s="30">
        <v>289</v>
      </c>
      <c r="AD3" s="31">
        <v>1498</v>
      </c>
      <c r="AE3" s="31">
        <v>496</v>
      </c>
      <c r="AF3" s="31">
        <v>1066</v>
      </c>
      <c r="AG3" s="31">
        <v>1843</v>
      </c>
      <c r="AH3" s="31">
        <v>830</v>
      </c>
      <c r="AI3" s="31">
        <v>1943</v>
      </c>
      <c r="AJ3" s="31">
        <v>1557</v>
      </c>
      <c r="AK3" s="30">
        <v>1407</v>
      </c>
      <c r="AL3" s="31">
        <v>1208</v>
      </c>
    </row>
    <row r="4" spans="1:38" x14ac:dyDescent="0.3">
      <c r="A4" s="28">
        <v>42064</v>
      </c>
      <c r="B4" s="30">
        <v>1237</v>
      </c>
      <c r="C4" s="31">
        <v>1109</v>
      </c>
      <c r="D4" s="31">
        <v>1070</v>
      </c>
      <c r="E4" s="31">
        <v>1065</v>
      </c>
      <c r="F4" s="31">
        <v>493</v>
      </c>
      <c r="G4" s="30">
        <v>412</v>
      </c>
      <c r="H4" s="30">
        <v>970</v>
      </c>
      <c r="I4" s="30">
        <v>916</v>
      </c>
      <c r="J4" s="30">
        <v>2227</v>
      </c>
      <c r="K4" s="30">
        <v>501</v>
      </c>
      <c r="L4" s="30">
        <v>15863</v>
      </c>
      <c r="M4" s="30">
        <v>913</v>
      </c>
      <c r="N4" s="31">
        <v>2093</v>
      </c>
      <c r="O4" s="31">
        <v>4412</v>
      </c>
      <c r="P4" s="30">
        <v>1133</v>
      </c>
      <c r="Q4" s="30">
        <v>1061</v>
      </c>
      <c r="R4" s="31">
        <v>678</v>
      </c>
      <c r="S4" s="31">
        <v>546</v>
      </c>
      <c r="T4" s="30">
        <v>748</v>
      </c>
      <c r="U4" s="30">
        <v>40435</v>
      </c>
      <c r="V4" s="30">
        <v>38400</v>
      </c>
      <c r="W4" s="30">
        <v>989</v>
      </c>
      <c r="X4" s="30">
        <v>886</v>
      </c>
      <c r="Y4" s="30">
        <v>5118</v>
      </c>
      <c r="Z4" s="30">
        <v>6136</v>
      </c>
      <c r="AA4" s="30">
        <v>4086</v>
      </c>
      <c r="AB4" s="30">
        <v>10378</v>
      </c>
      <c r="AC4" s="30">
        <v>200</v>
      </c>
      <c r="AD4" s="31">
        <v>919</v>
      </c>
      <c r="AE4" s="31">
        <v>242</v>
      </c>
      <c r="AF4" s="31">
        <v>664</v>
      </c>
      <c r="AG4" s="31">
        <v>1248</v>
      </c>
      <c r="AH4" s="31">
        <v>631</v>
      </c>
      <c r="AI4" s="31">
        <v>1798</v>
      </c>
      <c r="AJ4" s="31">
        <v>1400</v>
      </c>
      <c r="AK4" s="30">
        <v>1163</v>
      </c>
      <c r="AL4" s="31">
        <v>1061</v>
      </c>
    </row>
    <row r="5" spans="1:38" x14ac:dyDescent="0.3">
      <c r="A5" s="28">
        <v>42095</v>
      </c>
      <c r="B5" s="30">
        <v>1386</v>
      </c>
      <c r="C5" s="31">
        <v>1089</v>
      </c>
      <c r="D5" s="31">
        <v>1018</v>
      </c>
      <c r="E5" s="31">
        <v>1015</v>
      </c>
      <c r="F5" s="31">
        <v>403</v>
      </c>
      <c r="G5" s="30">
        <v>521</v>
      </c>
      <c r="H5" s="30">
        <v>1175</v>
      </c>
      <c r="I5" s="30">
        <v>749</v>
      </c>
      <c r="J5" s="30">
        <v>2025</v>
      </c>
      <c r="K5" s="30">
        <v>400</v>
      </c>
      <c r="L5" s="30">
        <v>19054</v>
      </c>
      <c r="M5" s="30">
        <v>846</v>
      </c>
      <c r="N5" s="31">
        <v>2231</v>
      </c>
      <c r="O5" s="31">
        <v>4508</v>
      </c>
      <c r="P5" s="30">
        <v>915</v>
      </c>
      <c r="Q5" s="30">
        <v>880</v>
      </c>
      <c r="R5" s="31">
        <v>549</v>
      </c>
      <c r="S5" s="31">
        <v>453</v>
      </c>
      <c r="T5" s="30">
        <v>458</v>
      </c>
      <c r="U5" s="30">
        <v>33704</v>
      </c>
      <c r="V5" s="30">
        <v>31740</v>
      </c>
      <c r="W5" s="30">
        <v>897</v>
      </c>
      <c r="X5" s="30">
        <v>885</v>
      </c>
      <c r="Y5" s="30">
        <v>4538</v>
      </c>
      <c r="Z5" s="30">
        <v>5375</v>
      </c>
      <c r="AA5" s="30">
        <v>3461</v>
      </c>
      <c r="AB5" s="30">
        <v>9379</v>
      </c>
      <c r="AC5" s="30">
        <v>194</v>
      </c>
      <c r="AD5" s="31">
        <v>715</v>
      </c>
      <c r="AE5" s="31">
        <v>203</v>
      </c>
      <c r="AF5" s="31">
        <v>570</v>
      </c>
      <c r="AG5" s="31">
        <v>893</v>
      </c>
      <c r="AH5" s="31">
        <v>509</v>
      </c>
      <c r="AI5" s="31">
        <v>1245</v>
      </c>
      <c r="AJ5" s="31">
        <v>1047</v>
      </c>
      <c r="AK5" s="30">
        <v>813</v>
      </c>
      <c r="AL5" s="31">
        <v>776</v>
      </c>
    </row>
    <row r="6" spans="1:38" x14ac:dyDescent="0.3">
      <c r="A6" s="28">
        <v>42125</v>
      </c>
      <c r="B6" s="30">
        <v>1087</v>
      </c>
      <c r="C6" s="31">
        <v>1056</v>
      </c>
      <c r="D6" s="31">
        <v>1101</v>
      </c>
      <c r="E6" s="31">
        <v>1104</v>
      </c>
      <c r="F6" s="31">
        <v>332</v>
      </c>
      <c r="G6" s="30">
        <v>431</v>
      </c>
      <c r="H6" s="30">
        <v>971</v>
      </c>
      <c r="I6" s="30">
        <v>757</v>
      </c>
      <c r="J6" s="30">
        <v>1601</v>
      </c>
      <c r="K6" s="30">
        <v>393</v>
      </c>
      <c r="L6" s="30">
        <v>16758</v>
      </c>
      <c r="M6" s="30">
        <v>563</v>
      </c>
      <c r="N6" s="31">
        <v>1730</v>
      </c>
      <c r="O6" s="31">
        <v>4074</v>
      </c>
      <c r="P6" s="30">
        <v>756</v>
      </c>
      <c r="Q6" s="30">
        <v>767</v>
      </c>
      <c r="R6" s="31">
        <v>443</v>
      </c>
      <c r="S6" s="31">
        <v>354</v>
      </c>
      <c r="T6" s="30">
        <v>358</v>
      </c>
      <c r="U6" s="30">
        <v>34999</v>
      </c>
      <c r="V6" s="30">
        <v>33266</v>
      </c>
      <c r="W6" s="30">
        <v>756</v>
      </c>
      <c r="X6" s="30">
        <v>1314</v>
      </c>
      <c r="Y6" s="30">
        <v>3944</v>
      </c>
      <c r="Z6" s="30">
        <v>4821</v>
      </c>
      <c r="AA6" s="30">
        <v>3366</v>
      </c>
      <c r="AB6" s="30">
        <v>9118</v>
      </c>
      <c r="AC6" s="30">
        <v>151</v>
      </c>
      <c r="AD6" s="31">
        <v>548</v>
      </c>
      <c r="AE6" s="31">
        <v>136</v>
      </c>
      <c r="AF6" s="31">
        <v>366</v>
      </c>
      <c r="AG6" s="31">
        <v>725</v>
      </c>
      <c r="AH6" s="31">
        <v>467</v>
      </c>
      <c r="AI6" s="31">
        <v>908</v>
      </c>
      <c r="AJ6" s="31">
        <v>654</v>
      </c>
      <c r="AK6" s="30">
        <v>699</v>
      </c>
      <c r="AL6" s="31">
        <v>579</v>
      </c>
    </row>
    <row r="7" spans="1:38" x14ac:dyDescent="0.3">
      <c r="A7" s="28">
        <v>42156</v>
      </c>
      <c r="B7" s="30">
        <v>743</v>
      </c>
      <c r="C7" s="31">
        <v>930</v>
      </c>
      <c r="D7" s="31">
        <v>887</v>
      </c>
      <c r="E7" s="31">
        <v>888</v>
      </c>
      <c r="F7" s="31">
        <v>224</v>
      </c>
      <c r="G7" s="30">
        <v>227</v>
      </c>
      <c r="H7" s="30">
        <v>689</v>
      </c>
      <c r="I7" s="30">
        <v>556</v>
      </c>
      <c r="J7" s="30">
        <v>1132</v>
      </c>
      <c r="K7" s="30">
        <v>243</v>
      </c>
      <c r="L7" s="30">
        <v>7416</v>
      </c>
      <c r="M7" s="30">
        <v>288</v>
      </c>
      <c r="N7" s="31">
        <v>934</v>
      </c>
      <c r="O7" s="31">
        <v>1807</v>
      </c>
      <c r="P7" s="30">
        <v>586</v>
      </c>
      <c r="Q7" s="30">
        <v>625</v>
      </c>
      <c r="R7" s="31">
        <v>357</v>
      </c>
      <c r="S7" s="31">
        <v>306</v>
      </c>
      <c r="T7" s="30">
        <v>298</v>
      </c>
      <c r="U7" s="30">
        <v>29551</v>
      </c>
      <c r="V7" s="30">
        <v>28238</v>
      </c>
      <c r="W7" s="30">
        <v>318</v>
      </c>
      <c r="X7" s="30">
        <v>771</v>
      </c>
      <c r="Y7" s="30">
        <v>3824</v>
      </c>
      <c r="Z7" s="30">
        <v>4619</v>
      </c>
      <c r="AA7" s="30">
        <v>2838</v>
      </c>
      <c r="AB7" s="30">
        <v>8740</v>
      </c>
      <c r="AC7" s="30">
        <v>374</v>
      </c>
      <c r="AD7" s="31">
        <v>923</v>
      </c>
      <c r="AE7" s="31">
        <v>468</v>
      </c>
      <c r="AF7" s="31">
        <v>772</v>
      </c>
      <c r="AG7" s="31">
        <v>1257</v>
      </c>
      <c r="AH7" s="31">
        <v>935</v>
      </c>
      <c r="AI7" s="31">
        <v>1068</v>
      </c>
      <c r="AJ7" s="31">
        <v>594</v>
      </c>
      <c r="AK7" s="30">
        <v>854</v>
      </c>
      <c r="AL7" s="31">
        <v>743</v>
      </c>
    </row>
    <row r="8" spans="1:38" x14ac:dyDescent="0.3">
      <c r="A8" s="28">
        <v>42186</v>
      </c>
      <c r="B8" s="30">
        <v>616</v>
      </c>
      <c r="C8" s="31">
        <v>885</v>
      </c>
      <c r="D8" s="31">
        <v>873</v>
      </c>
      <c r="E8" s="31">
        <v>873</v>
      </c>
      <c r="F8" s="31">
        <v>192</v>
      </c>
      <c r="G8" s="30">
        <v>175</v>
      </c>
      <c r="H8" s="30">
        <v>560</v>
      </c>
      <c r="I8" s="30">
        <v>414</v>
      </c>
      <c r="J8" s="30">
        <v>881</v>
      </c>
      <c r="K8" s="30">
        <v>203</v>
      </c>
      <c r="L8" s="30">
        <v>3807</v>
      </c>
      <c r="M8" s="30">
        <v>189</v>
      </c>
      <c r="N8" s="31">
        <v>858</v>
      </c>
      <c r="O8" s="31">
        <v>1461</v>
      </c>
      <c r="P8" s="30">
        <v>529</v>
      </c>
      <c r="Q8" s="30">
        <v>626</v>
      </c>
      <c r="R8" s="31">
        <v>313</v>
      </c>
      <c r="S8" s="31">
        <v>297</v>
      </c>
      <c r="T8" s="30">
        <v>238</v>
      </c>
      <c r="U8" s="30">
        <v>20773</v>
      </c>
      <c r="V8" s="30">
        <v>20183</v>
      </c>
      <c r="W8" s="30">
        <v>115</v>
      </c>
      <c r="X8" s="30">
        <v>529</v>
      </c>
      <c r="Y8" s="30">
        <v>3087</v>
      </c>
      <c r="Z8" s="30">
        <v>4035</v>
      </c>
      <c r="AA8" s="30">
        <v>2252</v>
      </c>
      <c r="AB8" s="30">
        <v>13172</v>
      </c>
      <c r="AC8" s="30">
        <v>932</v>
      </c>
      <c r="AD8" s="31">
        <v>3142</v>
      </c>
      <c r="AE8" s="31">
        <v>971</v>
      </c>
      <c r="AF8" s="31">
        <v>2014</v>
      </c>
      <c r="AG8" s="31">
        <v>4075</v>
      </c>
      <c r="AH8" s="31">
        <v>1583</v>
      </c>
      <c r="AI8" s="31">
        <v>2931</v>
      </c>
      <c r="AJ8" s="31">
        <v>1841</v>
      </c>
      <c r="AK8" s="30">
        <v>2475</v>
      </c>
      <c r="AL8" s="31">
        <v>1762</v>
      </c>
    </row>
    <row r="9" spans="1:38" x14ac:dyDescent="0.3">
      <c r="A9" s="28">
        <v>42217</v>
      </c>
      <c r="B9" s="30">
        <v>529</v>
      </c>
      <c r="C9" s="31">
        <v>870</v>
      </c>
      <c r="D9" s="31">
        <v>888</v>
      </c>
      <c r="E9" s="31">
        <v>884</v>
      </c>
      <c r="F9" s="31">
        <v>173</v>
      </c>
      <c r="G9" s="30">
        <v>185</v>
      </c>
      <c r="H9" s="30">
        <v>541</v>
      </c>
      <c r="I9" s="30">
        <v>682</v>
      </c>
      <c r="J9" s="30">
        <v>961</v>
      </c>
      <c r="K9" s="30">
        <v>179</v>
      </c>
      <c r="L9" s="30">
        <v>2593</v>
      </c>
      <c r="M9" s="30">
        <v>103</v>
      </c>
      <c r="N9" s="31">
        <v>807</v>
      </c>
      <c r="O9" s="31">
        <v>1337</v>
      </c>
      <c r="P9" s="30">
        <v>472</v>
      </c>
      <c r="Q9" s="30">
        <v>756</v>
      </c>
      <c r="R9" s="31">
        <v>337</v>
      </c>
      <c r="S9" s="31">
        <v>336</v>
      </c>
      <c r="T9" s="30">
        <v>185</v>
      </c>
      <c r="U9" s="30">
        <v>12530</v>
      </c>
      <c r="V9" s="30">
        <v>11787</v>
      </c>
      <c r="W9" s="30">
        <v>55</v>
      </c>
      <c r="X9" s="30">
        <v>351</v>
      </c>
      <c r="Y9" s="30">
        <v>2888</v>
      </c>
      <c r="Z9" s="30">
        <v>3545</v>
      </c>
      <c r="AA9" s="30">
        <v>2601</v>
      </c>
      <c r="AB9" s="30">
        <v>8225</v>
      </c>
      <c r="AC9" s="30">
        <v>150</v>
      </c>
      <c r="AD9" s="31">
        <v>1173</v>
      </c>
      <c r="AE9" s="31">
        <v>292</v>
      </c>
      <c r="AF9" s="31">
        <v>850</v>
      </c>
      <c r="AG9" s="31">
        <v>1533</v>
      </c>
      <c r="AH9" s="31">
        <v>572</v>
      </c>
      <c r="AI9" s="31">
        <v>1738</v>
      </c>
      <c r="AJ9" s="31">
        <v>1423</v>
      </c>
      <c r="AK9" s="30">
        <v>1343</v>
      </c>
      <c r="AL9" s="31">
        <v>1158</v>
      </c>
    </row>
    <row r="10" spans="1:38" x14ac:dyDescent="0.3">
      <c r="A10" s="28">
        <v>42248</v>
      </c>
      <c r="B10" s="30">
        <v>486</v>
      </c>
      <c r="C10" s="31">
        <v>857</v>
      </c>
      <c r="D10" s="31">
        <v>897</v>
      </c>
      <c r="E10" s="31">
        <v>897</v>
      </c>
      <c r="F10" s="31">
        <v>209</v>
      </c>
      <c r="G10" s="30">
        <v>283</v>
      </c>
      <c r="H10" s="30">
        <v>780</v>
      </c>
      <c r="I10" s="30">
        <v>1121</v>
      </c>
      <c r="J10" s="30">
        <v>1358</v>
      </c>
      <c r="K10" s="30">
        <v>168</v>
      </c>
      <c r="L10" s="30">
        <v>2090</v>
      </c>
      <c r="M10" s="30">
        <v>64</v>
      </c>
      <c r="N10" s="31">
        <v>913</v>
      </c>
      <c r="O10" s="31">
        <v>1367</v>
      </c>
      <c r="P10" s="30">
        <v>727</v>
      </c>
      <c r="Q10" s="30">
        <v>963</v>
      </c>
      <c r="R10" s="31">
        <v>528</v>
      </c>
      <c r="S10" s="31">
        <v>536</v>
      </c>
      <c r="T10" s="30">
        <v>377</v>
      </c>
      <c r="U10" s="30">
        <v>6445</v>
      </c>
      <c r="V10" s="30">
        <v>6235</v>
      </c>
      <c r="W10" s="30">
        <v>46</v>
      </c>
      <c r="X10" s="30">
        <v>155</v>
      </c>
      <c r="Y10" s="30">
        <v>3498</v>
      </c>
      <c r="Z10" s="30">
        <v>4381</v>
      </c>
      <c r="AA10" s="30">
        <v>2892</v>
      </c>
      <c r="AB10" s="30">
        <v>8976</v>
      </c>
      <c r="AC10" s="30">
        <v>754</v>
      </c>
      <c r="AD10" s="31">
        <v>1767</v>
      </c>
      <c r="AE10" s="31">
        <v>683</v>
      </c>
      <c r="AF10" s="31">
        <v>1420</v>
      </c>
      <c r="AG10" s="31">
        <v>2090</v>
      </c>
      <c r="AH10" s="31">
        <v>546</v>
      </c>
      <c r="AI10" s="31">
        <v>1615</v>
      </c>
      <c r="AJ10" s="31">
        <v>1351</v>
      </c>
      <c r="AK10" s="30">
        <v>1248</v>
      </c>
      <c r="AL10" s="31">
        <v>1089</v>
      </c>
    </row>
    <row r="11" spans="1:38" x14ac:dyDescent="0.3">
      <c r="A11" s="28">
        <v>42278</v>
      </c>
      <c r="B11" s="30">
        <v>483</v>
      </c>
      <c r="C11" s="31">
        <v>867</v>
      </c>
      <c r="D11" s="31">
        <v>881</v>
      </c>
      <c r="E11" s="31">
        <v>877</v>
      </c>
      <c r="F11" s="31">
        <v>164</v>
      </c>
      <c r="G11" s="30">
        <v>185</v>
      </c>
      <c r="H11" s="30">
        <v>980</v>
      </c>
      <c r="I11" s="30">
        <v>1273</v>
      </c>
      <c r="J11" s="30">
        <v>1444</v>
      </c>
      <c r="K11" s="30">
        <v>152</v>
      </c>
      <c r="L11" s="30">
        <v>2343</v>
      </c>
      <c r="M11" s="30">
        <v>82</v>
      </c>
      <c r="N11" s="31">
        <v>1056</v>
      </c>
      <c r="O11" s="31">
        <v>1586</v>
      </c>
      <c r="P11" s="30">
        <v>763</v>
      </c>
      <c r="Q11" s="30">
        <v>1090</v>
      </c>
      <c r="R11" s="31">
        <v>670</v>
      </c>
      <c r="S11" s="31">
        <v>672</v>
      </c>
      <c r="T11" s="30">
        <v>206</v>
      </c>
      <c r="U11" s="30">
        <v>5301</v>
      </c>
      <c r="V11" s="30">
        <v>5255</v>
      </c>
      <c r="W11" s="30">
        <v>79</v>
      </c>
      <c r="X11" s="30">
        <v>173</v>
      </c>
      <c r="Y11" s="30">
        <v>4481</v>
      </c>
      <c r="Z11" s="30">
        <v>5448</v>
      </c>
      <c r="AA11" s="30">
        <v>3374</v>
      </c>
      <c r="AB11" s="30">
        <v>12222</v>
      </c>
      <c r="AC11" s="30">
        <v>1273</v>
      </c>
      <c r="AD11" s="31">
        <v>4496</v>
      </c>
      <c r="AE11" s="31">
        <v>1744</v>
      </c>
      <c r="AF11" s="31">
        <v>3365</v>
      </c>
      <c r="AG11" s="31">
        <v>5377</v>
      </c>
      <c r="AH11" s="31">
        <v>1792</v>
      </c>
      <c r="AI11" s="31">
        <v>2200</v>
      </c>
      <c r="AJ11" s="31">
        <v>1665</v>
      </c>
      <c r="AK11" s="30">
        <v>1806</v>
      </c>
      <c r="AL11" s="31">
        <v>1493</v>
      </c>
    </row>
    <row r="12" spans="1:38" x14ac:dyDescent="0.3">
      <c r="A12" s="28">
        <v>42309</v>
      </c>
      <c r="B12" s="30">
        <v>587</v>
      </c>
      <c r="C12" s="31">
        <v>875</v>
      </c>
      <c r="D12" s="31">
        <v>898</v>
      </c>
      <c r="E12" s="31">
        <v>731</v>
      </c>
      <c r="F12" s="31">
        <v>268</v>
      </c>
      <c r="G12" s="30">
        <v>192</v>
      </c>
      <c r="H12" s="30">
        <v>926</v>
      </c>
      <c r="I12" s="30">
        <v>1167</v>
      </c>
      <c r="J12" s="30">
        <v>1572</v>
      </c>
      <c r="K12" s="30">
        <v>184</v>
      </c>
      <c r="L12" s="30">
        <v>2747</v>
      </c>
      <c r="M12" s="30">
        <v>146</v>
      </c>
      <c r="N12" s="31">
        <v>1154</v>
      </c>
      <c r="O12" s="31">
        <v>1767</v>
      </c>
      <c r="P12" s="30">
        <v>1008</v>
      </c>
      <c r="Q12" s="30">
        <v>1082</v>
      </c>
      <c r="R12" s="31">
        <v>635</v>
      </c>
      <c r="S12" s="31">
        <v>635</v>
      </c>
      <c r="T12" s="30">
        <v>548</v>
      </c>
      <c r="U12" s="30">
        <v>8482</v>
      </c>
      <c r="V12" s="30">
        <v>8571</v>
      </c>
      <c r="W12" s="30">
        <v>108</v>
      </c>
      <c r="X12" s="30">
        <v>171</v>
      </c>
      <c r="Y12" s="30">
        <v>4111</v>
      </c>
      <c r="Z12" s="30">
        <v>5527</v>
      </c>
      <c r="AA12" s="30">
        <v>3365</v>
      </c>
      <c r="AB12" s="30">
        <v>15265</v>
      </c>
      <c r="AC12" s="30">
        <v>307</v>
      </c>
      <c r="AD12" s="31">
        <v>2012</v>
      </c>
      <c r="AE12" s="31">
        <v>733</v>
      </c>
      <c r="AF12" s="31">
        <v>1308</v>
      </c>
      <c r="AG12" s="31">
        <v>2649</v>
      </c>
      <c r="AH12" s="31">
        <v>1689</v>
      </c>
      <c r="AI12" s="31">
        <v>2938</v>
      </c>
      <c r="AJ12" s="31">
        <v>2504</v>
      </c>
      <c r="AK12" s="30">
        <v>2376</v>
      </c>
      <c r="AL12" s="31">
        <v>2034</v>
      </c>
    </row>
    <row r="13" spans="1:38" x14ac:dyDescent="0.3">
      <c r="A13" s="28">
        <v>42339</v>
      </c>
      <c r="B13" s="30">
        <v>1046</v>
      </c>
      <c r="C13" s="31">
        <v>888</v>
      </c>
      <c r="D13" s="31">
        <v>862</v>
      </c>
      <c r="E13" s="31">
        <v>605</v>
      </c>
      <c r="F13" s="31">
        <v>267</v>
      </c>
      <c r="G13" s="30">
        <v>166</v>
      </c>
      <c r="H13" s="30">
        <v>747</v>
      </c>
      <c r="I13" s="30">
        <v>890</v>
      </c>
      <c r="J13" s="30">
        <v>1459</v>
      </c>
      <c r="K13" s="30">
        <v>204</v>
      </c>
      <c r="L13" s="30">
        <v>2809</v>
      </c>
      <c r="M13" s="30">
        <v>215</v>
      </c>
      <c r="N13" s="31">
        <v>1036</v>
      </c>
      <c r="O13" s="31">
        <v>1838</v>
      </c>
      <c r="P13" s="30">
        <v>1198</v>
      </c>
      <c r="Q13" s="30">
        <v>1046</v>
      </c>
      <c r="R13" s="31">
        <v>686</v>
      </c>
      <c r="S13" s="31">
        <v>611</v>
      </c>
      <c r="T13" s="30">
        <v>862</v>
      </c>
      <c r="U13" s="30">
        <v>10759</v>
      </c>
      <c r="V13" s="30">
        <v>11017</v>
      </c>
      <c r="W13" s="30">
        <v>130</v>
      </c>
      <c r="X13" s="30">
        <v>56</v>
      </c>
      <c r="Y13" s="30">
        <v>4033</v>
      </c>
      <c r="Z13" s="30">
        <v>5623</v>
      </c>
      <c r="AA13" s="30">
        <v>3307</v>
      </c>
      <c r="AB13" s="30">
        <v>17984</v>
      </c>
      <c r="AC13" s="30">
        <v>386</v>
      </c>
      <c r="AD13" s="31">
        <v>1955</v>
      </c>
      <c r="AE13" s="31">
        <v>442</v>
      </c>
      <c r="AF13" s="31">
        <v>1162</v>
      </c>
      <c r="AG13" s="31">
        <v>3110</v>
      </c>
      <c r="AH13" s="31">
        <v>1570</v>
      </c>
      <c r="AI13" s="31">
        <v>3838</v>
      </c>
      <c r="AJ13" s="31">
        <v>2756</v>
      </c>
      <c r="AK13" s="30">
        <v>2560</v>
      </c>
      <c r="AL13" s="31">
        <v>1993</v>
      </c>
    </row>
    <row r="14" spans="1:38" x14ac:dyDescent="0.3">
      <c r="A14" s="28">
        <v>42370</v>
      </c>
      <c r="B14" s="30">
        <v>1711</v>
      </c>
      <c r="C14" s="31">
        <v>1192</v>
      </c>
      <c r="D14" s="31">
        <v>846</v>
      </c>
      <c r="E14" s="31">
        <v>815</v>
      </c>
      <c r="F14" s="31">
        <v>656</v>
      </c>
      <c r="G14" s="30">
        <v>425</v>
      </c>
      <c r="H14" s="30">
        <v>1095</v>
      </c>
      <c r="I14" s="30">
        <v>764</v>
      </c>
      <c r="J14" s="30">
        <v>2257</v>
      </c>
      <c r="K14" s="30">
        <v>709</v>
      </c>
      <c r="L14" s="30">
        <v>7225</v>
      </c>
      <c r="M14" s="30">
        <v>1456</v>
      </c>
      <c r="N14" s="31">
        <v>3571</v>
      </c>
      <c r="O14" s="31">
        <v>5002</v>
      </c>
      <c r="P14" s="30">
        <v>2178</v>
      </c>
      <c r="Q14" s="30">
        <v>2424</v>
      </c>
      <c r="R14" s="31">
        <v>965</v>
      </c>
      <c r="S14" s="31">
        <v>715</v>
      </c>
      <c r="T14" s="30">
        <v>1621</v>
      </c>
      <c r="U14" s="30">
        <v>17813</v>
      </c>
      <c r="V14" s="30">
        <v>17456</v>
      </c>
      <c r="W14" s="30">
        <v>259</v>
      </c>
      <c r="X14" s="30">
        <v>53</v>
      </c>
      <c r="Y14" s="30">
        <v>4514</v>
      </c>
      <c r="Z14" s="30">
        <v>6586</v>
      </c>
      <c r="AA14" s="30">
        <v>4190</v>
      </c>
      <c r="AB14" s="30">
        <v>20320</v>
      </c>
      <c r="AC14" s="30">
        <v>251</v>
      </c>
      <c r="AD14" s="31">
        <v>1236</v>
      </c>
      <c r="AE14" s="31">
        <v>331</v>
      </c>
      <c r="AF14" s="31">
        <v>850</v>
      </c>
      <c r="AG14" s="31">
        <v>1546</v>
      </c>
      <c r="AH14" s="31">
        <v>1524</v>
      </c>
      <c r="AI14" s="31">
        <v>2713</v>
      </c>
      <c r="AJ14" s="31">
        <v>2160</v>
      </c>
      <c r="AK14" s="30">
        <v>2123</v>
      </c>
      <c r="AL14" s="31">
        <v>1823</v>
      </c>
    </row>
    <row r="15" spans="1:38" x14ac:dyDescent="0.3">
      <c r="A15" s="28">
        <v>42401</v>
      </c>
      <c r="B15" s="30">
        <v>3203</v>
      </c>
      <c r="C15" s="31">
        <v>804</v>
      </c>
      <c r="D15" s="31">
        <v>792</v>
      </c>
      <c r="E15" s="31">
        <v>773</v>
      </c>
      <c r="F15" s="31">
        <v>355</v>
      </c>
      <c r="G15" s="30">
        <v>280</v>
      </c>
      <c r="H15" s="30">
        <v>874</v>
      </c>
      <c r="I15" s="30">
        <v>463</v>
      </c>
      <c r="J15" s="30">
        <v>1542</v>
      </c>
      <c r="K15" s="30">
        <v>477</v>
      </c>
      <c r="L15" s="30">
        <v>12740</v>
      </c>
      <c r="M15" s="30">
        <v>842</v>
      </c>
      <c r="N15" s="31">
        <v>1972</v>
      </c>
      <c r="O15" s="31">
        <v>4052</v>
      </c>
      <c r="P15" s="30">
        <v>1658</v>
      </c>
      <c r="Q15" s="30">
        <v>2007</v>
      </c>
      <c r="R15" s="31">
        <v>754</v>
      </c>
      <c r="S15" s="31">
        <v>554</v>
      </c>
      <c r="T15" s="30">
        <v>1110</v>
      </c>
      <c r="U15" s="30">
        <v>24841</v>
      </c>
      <c r="V15" s="30">
        <v>23559</v>
      </c>
      <c r="W15" s="30">
        <v>342</v>
      </c>
      <c r="X15" s="30">
        <v>162</v>
      </c>
      <c r="Y15" s="30">
        <v>5915</v>
      </c>
      <c r="Z15" s="30">
        <v>7603</v>
      </c>
      <c r="AA15" s="30">
        <v>4764</v>
      </c>
      <c r="AB15" s="30">
        <v>15505</v>
      </c>
      <c r="AC15" s="30">
        <v>426</v>
      </c>
      <c r="AD15" s="31">
        <v>1428</v>
      </c>
      <c r="AE15" s="31">
        <v>471</v>
      </c>
      <c r="AF15" s="31">
        <v>1045</v>
      </c>
      <c r="AG15" s="31">
        <v>1944</v>
      </c>
      <c r="AH15" s="31">
        <v>968</v>
      </c>
      <c r="AI15" s="31">
        <v>2166</v>
      </c>
      <c r="AJ15" s="31">
        <v>1537</v>
      </c>
      <c r="AK15" s="30">
        <v>1505</v>
      </c>
      <c r="AL15" s="31">
        <v>1328</v>
      </c>
    </row>
    <row r="16" spans="1:38" x14ac:dyDescent="0.3">
      <c r="A16" s="28">
        <v>42430</v>
      </c>
      <c r="B16" s="30">
        <v>1139</v>
      </c>
      <c r="C16" s="31">
        <v>764</v>
      </c>
      <c r="D16" s="31">
        <v>836</v>
      </c>
      <c r="E16" s="31">
        <v>703</v>
      </c>
      <c r="F16" s="31">
        <v>352</v>
      </c>
      <c r="G16" s="30">
        <v>440</v>
      </c>
      <c r="H16" s="30">
        <v>1185</v>
      </c>
      <c r="I16" s="30">
        <v>538</v>
      </c>
      <c r="J16" s="30">
        <v>1824</v>
      </c>
      <c r="K16" s="30">
        <v>339</v>
      </c>
      <c r="L16" s="30">
        <v>12755</v>
      </c>
      <c r="M16" s="30">
        <v>717</v>
      </c>
      <c r="N16" s="31">
        <v>1503</v>
      </c>
      <c r="O16" s="31">
        <v>2886</v>
      </c>
      <c r="P16" s="30">
        <v>1930</v>
      </c>
      <c r="Q16" s="30">
        <v>2352</v>
      </c>
      <c r="R16" s="31">
        <v>866</v>
      </c>
      <c r="S16" s="31">
        <v>603</v>
      </c>
      <c r="T16" s="30">
        <v>1130</v>
      </c>
      <c r="U16" s="30">
        <v>32751</v>
      </c>
      <c r="V16" s="30">
        <v>30667</v>
      </c>
      <c r="W16" s="30">
        <v>654</v>
      </c>
      <c r="X16" s="30">
        <v>530</v>
      </c>
      <c r="Y16" s="30">
        <v>6726</v>
      </c>
      <c r="Z16" s="30">
        <v>8598</v>
      </c>
      <c r="AA16" s="30">
        <v>4797</v>
      </c>
      <c r="AB16" s="30">
        <v>18173</v>
      </c>
      <c r="AC16" s="30">
        <v>277</v>
      </c>
      <c r="AD16" s="31">
        <v>1394</v>
      </c>
      <c r="AE16" s="31">
        <v>483</v>
      </c>
      <c r="AF16" s="31">
        <v>951</v>
      </c>
      <c r="AG16" s="31">
        <v>1818</v>
      </c>
      <c r="AH16" s="31">
        <v>1203</v>
      </c>
      <c r="AI16" s="31">
        <v>2415</v>
      </c>
      <c r="AJ16" s="31">
        <v>1802</v>
      </c>
      <c r="AK16" s="30">
        <v>1785</v>
      </c>
      <c r="AL16" s="31">
        <v>1570</v>
      </c>
    </row>
    <row r="17" spans="1:38" x14ac:dyDescent="0.3">
      <c r="A17" s="28">
        <v>42461</v>
      </c>
      <c r="B17" s="30">
        <v>636</v>
      </c>
      <c r="C17" s="31">
        <v>734</v>
      </c>
      <c r="D17" s="31">
        <v>762</v>
      </c>
      <c r="E17" s="31">
        <v>733</v>
      </c>
      <c r="F17" s="31">
        <v>189</v>
      </c>
      <c r="G17" s="30">
        <v>255</v>
      </c>
      <c r="H17" s="30">
        <v>770</v>
      </c>
      <c r="I17" s="30">
        <v>884</v>
      </c>
      <c r="J17" s="30">
        <v>1459</v>
      </c>
      <c r="K17" s="30">
        <v>292</v>
      </c>
      <c r="L17" s="30">
        <v>11354</v>
      </c>
      <c r="M17" s="30">
        <v>291</v>
      </c>
      <c r="N17" s="31">
        <v>841</v>
      </c>
      <c r="O17" s="31">
        <v>2128</v>
      </c>
      <c r="P17" s="30">
        <v>1281</v>
      </c>
      <c r="Q17" s="30">
        <v>1503</v>
      </c>
      <c r="R17" s="31">
        <v>753</v>
      </c>
      <c r="S17" s="31">
        <v>616</v>
      </c>
      <c r="T17" s="30">
        <v>512</v>
      </c>
      <c r="U17" s="30">
        <v>27445</v>
      </c>
      <c r="V17" s="30">
        <v>25635</v>
      </c>
      <c r="W17" s="30">
        <v>656</v>
      </c>
      <c r="X17" s="30">
        <v>631</v>
      </c>
      <c r="Y17" s="30">
        <v>4961</v>
      </c>
      <c r="Z17" s="30">
        <v>6132</v>
      </c>
      <c r="AA17" s="30">
        <v>3492</v>
      </c>
      <c r="AB17" s="30">
        <v>11760</v>
      </c>
      <c r="AC17" s="30">
        <v>269</v>
      </c>
      <c r="AD17" s="31">
        <v>1134</v>
      </c>
      <c r="AE17" s="31">
        <v>330</v>
      </c>
      <c r="AF17" s="31">
        <v>821</v>
      </c>
      <c r="AG17" s="31">
        <v>1403</v>
      </c>
      <c r="AH17" s="31">
        <v>597</v>
      </c>
      <c r="AI17" s="31">
        <v>1534</v>
      </c>
      <c r="AJ17" s="31">
        <v>1213</v>
      </c>
      <c r="AK17" s="30">
        <v>1176</v>
      </c>
      <c r="AL17" s="31">
        <v>1007</v>
      </c>
    </row>
    <row r="18" spans="1:38" x14ac:dyDescent="0.3">
      <c r="A18" s="28">
        <v>42491</v>
      </c>
      <c r="B18" s="30">
        <v>466</v>
      </c>
      <c r="C18" s="31">
        <v>754</v>
      </c>
      <c r="D18" s="31">
        <v>797</v>
      </c>
      <c r="E18" s="31">
        <v>791</v>
      </c>
      <c r="F18" s="31">
        <v>169</v>
      </c>
      <c r="G18" s="30">
        <v>189</v>
      </c>
      <c r="H18" s="30">
        <v>701</v>
      </c>
      <c r="I18" s="30">
        <v>1076</v>
      </c>
      <c r="J18" s="30">
        <v>1509</v>
      </c>
      <c r="K18" s="30">
        <v>215</v>
      </c>
      <c r="L18" s="30">
        <v>5166</v>
      </c>
      <c r="M18" s="30">
        <v>201</v>
      </c>
      <c r="N18" s="31">
        <v>621</v>
      </c>
      <c r="O18" s="31">
        <v>1315</v>
      </c>
      <c r="P18" s="30">
        <v>1215</v>
      </c>
      <c r="Q18" s="30">
        <v>1347</v>
      </c>
      <c r="R18" s="31">
        <v>776</v>
      </c>
      <c r="S18" s="31">
        <v>681</v>
      </c>
      <c r="T18" s="30">
        <v>398</v>
      </c>
      <c r="U18" s="30">
        <v>21664</v>
      </c>
      <c r="V18" s="30">
        <v>20145</v>
      </c>
      <c r="W18" s="30">
        <v>288</v>
      </c>
      <c r="X18" s="30">
        <v>731</v>
      </c>
      <c r="Y18" s="30">
        <v>4626</v>
      </c>
      <c r="Z18" s="30">
        <v>5983</v>
      </c>
      <c r="AA18" s="30">
        <v>3290</v>
      </c>
      <c r="AB18" s="30">
        <v>12421</v>
      </c>
      <c r="AC18" s="30">
        <v>201</v>
      </c>
      <c r="AD18" s="31">
        <v>1162</v>
      </c>
      <c r="AE18" s="31">
        <v>442</v>
      </c>
      <c r="AF18" s="31">
        <v>868</v>
      </c>
      <c r="AG18" s="31">
        <v>1460</v>
      </c>
      <c r="AH18" s="31">
        <v>766</v>
      </c>
      <c r="AI18" s="31">
        <v>1505</v>
      </c>
      <c r="AJ18" s="31">
        <v>1129</v>
      </c>
      <c r="AK18" s="30">
        <v>1039</v>
      </c>
      <c r="AL18" s="31">
        <v>883</v>
      </c>
    </row>
    <row r="19" spans="1:38" x14ac:dyDescent="0.3">
      <c r="A19" s="28">
        <v>42522</v>
      </c>
      <c r="B19" s="30">
        <v>400</v>
      </c>
      <c r="C19" s="31">
        <v>791</v>
      </c>
      <c r="D19" s="31">
        <v>775</v>
      </c>
      <c r="E19" s="31">
        <v>767</v>
      </c>
      <c r="F19" s="31">
        <v>170</v>
      </c>
      <c r="G19" s="30">
        <v>187</v>
      </c>
      <c r="H19" s="30">
        <v>738</v>
      </c>
      <c r="I19" s="30">
        <v>814</v>
      </c>
      <c r="J19" s="30">
        <v>1233</v>
      </c>
      <c r="K19" s="30">
        <v>198</v>
      </c>
      <c r="L19" s="30">
        <v>3033</v>
      </c>
      <c r="M19" s="30">
        <v>124</v>
      </c>
      <c r="N19" s="31">
        <v>748</v>
      </c>
      <c r="O19" s="31">
        <v>1279</v>
      </c>
      <c r="P19" s="30">
        <v>1268</v>
      </c>
      <c r="Q19" s="30">
        <v>1570</v>
      </c>
      <c r="R19" s="31">
        <v>681</v>
      </c>
      <c r="S19" s="31">
        <v>621</v>
      </c>
      <c r="T19" s="30">
        <v>575</v>
      </c>
      <c r="U19" s="30">
        <v>12591</v>
      </c>
      <c r="V19" s="30">
        <v>11750</v>
      </c>
      <c r="W19" s="30">
        <v>114</v>
      </c>
      <c r="X19" s="30">
        <v>483</v>
      </c>
      <c r="Y19" s="30">
        <v>5398</v>
      </c>
      <c r="Z19" s="30">
        <v>6776</v>
      </c>
      <c r="AA19" s="30">
        <v>3605</v>
      </c>
      <c r="AB19" s="30">
        <v>15111</v>
      </c>
      <c r="AC19" s="30">
        <v>102</v>
      </c>
      <c r="AD19" s="31">
        <v>858</v>
      </c>
      <c r="AE19" s="31">
        <v>234</v>
      </c>
      <c r="AF19" s="31">
        <v>589</v>
      </c>
      <c r="AG19" s="31">
        <v>1112</v>
      </c>
      <c r="AH19" s="31">
        <v>995</v>
      </c>
      <c r="AI19" s="31">
        <v>1840</v>
      </c>
      <c r="AJ19" s="31">
        <v>1484</v>
      </c>
      <c r="AK19" s="30">
        <v>1507</v>
      </c>
      <c r="AL19" s="31">
        <v>1270</v>
      </c>
    </row>
    <row r="20" spans="1:38" x14ac:dyDescent="0.3">
      <c r="A20" s="28">
        <v>42552</v>
      </c>
      <c r="B20" s="30">
        <v>372</v>
      </c>
      <c r="C20" s="31">
        <v>785</v>
      </c>
      <c r="D20" s="31">
        <v>780</v>
      </c>
      <c r="E20" s="31">
        <v>772</v>
      </c>
      <c r="F20" s="31">
        <v>129</v>
      </c>
      <c r="G20" s="30">
        <v>134</v>
      </c>
      <c r="H20" s="30">
        <v>669</v>
      </c>
      <c r="I20" s="30">
        <v>912</v>
      </c>
      <c r="J20" s="30">
        <v>1195</v>
      </c>
      <c r="K20" s="30">
        <v>169</v>
      </c>
      <c r="L20" s="30">
        <v>2003</v>
      </c>
      <c r="M20" s="30">
        <v>70</v>
      </c>
      <c r="N20" s="31">
        <v>767</v>
      </c>
      <c r="O20" s="31">
        <v>1165</v>
      </c>
      <c r="P20" s="30">
        <v>1168</v>
      </c>
      <c r="Q20" s="30">
        <v>1528</v>
      </c>
      <c r="R20" s="31">
        <v>827</v>
      </c>
      <c r="S20" s="31">
        <v>812</v>
      </c>
      <c r="T20" s="30">
        <v>296</v>
      </c>
      <c r="U20" s="30">
        <v>6607</v>
      </c>
      <c r="V20" s="30">
        <v>6246</v>
      </c>
      <c r="W20" s="30">
        <v>46</v>
      </c>
      <c r="X20" s="30">
        <v>397</v>
      </c>
      <c r="Y20" s="30">
        <v>5050</v>
      </c>
      <c r="Z20" s="30">
        <v>5974</v>
      </c>
      <c r="AA20" s="30">
        <v>3408</v>
      </c>
      <c r="AB20" s="30">
        <v>11236</v>
      </c>
      <c r="AC20" s="30">
        <v>468</v>
      </c>
      <c r="AD20" s="31">
        <v>1022</v>
      </c>
      <c r="AE20" s="31">
        <v>283</v>
      </c>
      <c r="AF20" s="31">
        <v>821</v>
      </c>
      <c r="AG20" s="31">
        <v>1160</v>
      </c>
      <c r="AH20" s="31">
        <v>657</v>
      </c>
      <c r="AI20" s="31">
        <v>1467</v>
      </c>
      <c r="AJ20" s="31">
        <v>1146</v>
      </c>
      <c r="AK20" s="30">
        <v>1273</v>
      </c>
      <c r="AL20" s="31">
        <v>1084</v>
      </c>
    </row>
    <row r="21" spans="1:38" x14ac:dyDescent="0.3">
      <c r="A21" s="28">
        <v>42583</v>
      </c>
      <c r="B21" s="30">
        <v>398</v>
      </c>
      <c r="C21" s="31">
        <v>785</v>
      </c>
      <c r="D21" s="31">
        <v>784</v>
      </c>
      <c r="E21" s="31">
        <v>780</v>
      </c>
      <c r="F21" s="31">
        <v>109</v>
      </c>
      <c r="G21" s="30">
        <v>120</v>
      </c>
      <c r="H21" s="30">
        <v>801</v>
      </c>
      <c r="I21" s="30">
        <v>1017</v>
      </c>
      <c r="J21" s="30">
        <v>1268</v>
      </c>
      <c r="K21" s="30">
        <v>153</v>
      </c>
      <c r="L21" s="30">
        <v>1549</v>
      </c>
      <c r="M21" s="30">
        <v>96</v>
      </c>
      <c r="N21" s="31">
        <v>728</v>
      </c>
      <c r="O21" s="31">
        <v>1082</v>
      </c>
      <c r="P21" s="30">
        <v>1117</v>
      </c>
      <c r="Q21" s="30">
        <v>1634</v>
      </c>
      <c r="R21" s="31">
        <v>860</v>
      </c>
      <c r="S21" s="31">
        <v>896</v>
      </c>
      <c r="T21" s="30">
        <v>259</v>
      </c>
      <c r="U21" s="30">
        <v>3784</v>
      </c>
      <c r="V21" s="30">
        <v>3599</v>
      </c>
      <c r="W21" s="30">
        <v>8</v>
      </c>
      <c r="X21" s="30">
        <v>231</v>
      </c>
      <c r="Y21" s="30">
        <v>5100</v>
      </c>
      <c r="Z21" s="30">
        <v>5952</v>
      </c>
      <c r="AA21" s="30">
        <v>3830</v>
      </c>
      <c r="AB21" s="30">
        <v>11977</v>
      </c>
      <c r="AC21" s="30">
        <v>263</v>
      </c>
      <c r="AD21" s="31">
        <v>1216</v>
      </c>
      <c r="AE21" s="31">
        <v>332</v>
      </c>
      <c r="AF21" s="31">
        <v>842</v>
      </c>
      <c r="AG21" s="31">
        <v>1456</v>
      </c>
      <c r="AH21" s="31">
        <v>940</v>
      </c>
      <c r="AI21" s="31">
        <v>1715</v>
      </c>
      <c r="AJ21" s="31">
        <v>1297</v>
      </c>
      <c r="AK21" s="30">
        <v>1316</v>
      </c>
      <c r="AL21" s="31">
        <v>1131</v>
      </c>
    </row>
    <row r="22" spans="1:38" x14ac:dyDescent="0.3">
      <c r="A22" s="28">
        <v>42614</v>
      </c>
      <c r="B22" s="30">
        <v>402</v>
      </c>
      <c r="C22" s="31">
        <v>777</v>
      </c>
      <c r="D22" s="31">
        <v>794</v>
      </c>
      <c r="E22" s="31">
        <v>780</v>
      </c>
      <c r="F22" s="31">
        <v>80</v>
      </c>
      <c r="G22" s="30">
        <v>94</v>
      </c>
      <c r="H22" s="30">
        <v>717</v>
      </c>
      <c r="I22" s="30">
        <v>1109</v>
      </c>
      <c r="J22" s="30">
        <v>1255</v>
      </c>
      <c r="K22" s="30">
        <v>149</v>
      </c>
      <c r="L22" s="30">
        <v>1577</v>
      </c>
      <c r="M22" s="30">
        <v>50</v>
      </c>
      <c r="N22" s="31">
        <v>683</v>
      </c>
      <c r="O22" s="31">
        <v>1020</v>
      </c>
      <c r="P22" s="30">
        <v>1193</v>
      </c>
      <c r="Q22" s="30">
        <v>1390</v>
      </c>
      <c r="R22" s="31">
        <v>938</v>
      </c>
      <c r="S22" s="31">
        <v>1002</v>
      </c>
      <c r="T22" s="30">
        <v>254</v>
      </c>
      <c r="U22" s="30">
        <v>3361</v>
      </c>
      <c r="V22" s="30">
        <v>3192</v>
      </c>
      <c r="W22" s="30">
        <v>30</v>
      </c>
      <c r="X22" s="30">
        <v>309</v>
      </c>
      <c r="Y22" s="30">
        <v>5072</v>
      </c>
      <c r="Z22" s="30">
        <v>5945</v>
      </c>
      <c r="AA22" s="30">
        <v>3650</v>
      </c>
      <c r="AB22" s="30">
        <v>10901</v>
      </c>
      <c r="AC22" s="30">
        <v>219</v>
      </c>
      <c r="AD22" s="31">
        <v>966</v>
      </c>
      <c r="AE22" s="31">
        <v>281</v>
      </c>
      <c r="AF22" s="31">
        <v>727</v>
      </c>
      <c r="AG22" s="31">
        <v>1267</v>
      </c>
      <c r="AH22" s="31">
        <v>702</v>
      </c>
      <c r="AI22" s="31">
        <v>1775</v>
      </c>
      <c r="AJ22" s="31">
        <v>1428</v>
      </c>
      <c r="AK22" s="30">
        <v>1404</v>
      </c>
      <c r="AL22" s="31">
        <v>1217</v>
      </c>
    </row>
    <row r="23" spans="1:38" x14ac:dyDescent="0.3">
      <c r="A23" s="28">
        <v>42644</v>
      </c>
      <c r="B23" s="30">
        <v>497</v>
      </c>
      <c r="C23" s="31">
        <v>786</v>
      </c>
      <c r="D23" s="31">
        <v>788</v>
      </c>
      <c r="E23" s="31">
        <v>777</v>
      </c>
      <c r="F23" s="31">
        <v>115</v>
      </c>
      <c r="G23" s="30">
        <v>111</v>
      </c>
      <c r="H23" s="30">
        <v>807</v>
      </c>
      <c r="I23" s="30">
        <v>1270</v>
      </c>
      <c r="J23" s="30">
        <v>1598</v>
      </c>
      <c r="K23" s="30">
        <v>175</v>
      </c>
      <c r="L23" s="30">
        <v>1498</v>
      </c>
      <c r="M23" s="30">
        <v>135</v>
      </c>
      <c r="N23" s="31">
        <v>560</v>
      </c>
      <c r="O23" s="31">
        <v>1024</v>
      </c>
      <c r="P23" s="30">
        <v>1240</v>
      </c>
      <c r="Q23" s="30">
        <v>1614</v>
      </c>
      <c r="R23" s="31">
        <v>925</v>
      </c>
      <c r="S23" s="31">
        <v>968</v>
      </c>
      <c r="T23" s="30">
        <v>423</v>
      </c>
      <c r="U23" s="30">
        <v>3818</v>
      </c>
      <c r="V23" s="30">
        <v>3700</v>
      </c>
      <c r="W23" s="30">
        <v>52</v>
      </c>
      <c r="X23" s="30">
        <v>197</v>
      </c>
      <c r="Y23" s="30">
        <v>5531</v>
      </c>
      <c r="Z23" s="30">
        <v>6462</v>
      </c>
      <c r="AA23" s="30">
        <v>3675</v>
      </c>
      <c r="AB23" s="30">
        <v>11740</v>
      </c>
      <c r="AC23" s="30">
        <v>493</v>
      </c>
      <c r="AD23" s="31">
        <v>1303</v>
      </c>
      <c r="AE23" s="31">
        <v>396</v>
      </c>
      <c r="AF23" s="31">
        <v>938</v>
      </c>
      <c r="AG23" s="31">
        <v>1548</v>
      </c>
      <c r="AH23" s="31">
        <v>678</v>
      </c>
      <c r="AI23" s="31">
        <v>1520</v>
      </c>
      <c r="AJ23" s="31">
        <v>1176</v>
      </c>
      <c r="AK23" s="30">
        <v>1055</v>
      </c>
      <c r="AL23" s="31">
        <v>886</v>
      </c>
    </row>
    <row r="24" spans="1:38" x14ac:dyDescent="0.3">
      <c r="A24" s="28">
        <v>42675</v>
      </c>
      <c r="B24" s="30">
        <v>638</v>
      </c>
      <c r="C24" s="31">
        <v>780</v>
      </c>
      <c r="D24" s="31">
        <v>776</v>
      </c>
      <c r="E24" s="31">
        <v>761</v>
      </c>
      <c r="F24" s="31">
        <v>215</v>
      </c>
      <c r="G24" s="30">
        <v>212</v>
      </c>
      <c r="H24" s="30">
        <v>767</v>
      </c>
      <c r="I24" s="30">
        <v>1128</v>
      </c>
      <c r="J24" s="30">
        <v>1582</v>
      </c>
      <c r="K24" s="30">
        <v>267</v>
      </c>
      <c r="L24" s="30">
        <v>2315</v>
      </c>
      <c r="M24" s="30">
        <v>374</v>
      </c>
      <c r="N24" s="31">
        <v>712</v>
      </c>
      <c r="O24" s="31">
        <v>1258</v>
      </c>
      <c r="P24" s="30">
        <v>1399</v>
      </c>
      <c r="Q24" s="30">
        <v>1697</v>
      </c>
      <c r="R24" s="31">
        <v>974</v>
      </c>
      <c r="S24" s="31">
        <v>965</v>
      </c>
      <c r="T24" s="30">
        <v>650</v>
      </c>
      <c r="U24" s="30">
        <v>5775</v>
      </c>
      <c r="V24" s="30">
        <v>5690</v>
      </c>
      <c r="W24" s="30">
        <v>215</v>
      </c>
      <c r="X24" s="30">
        <v>169</v>
      </c>
      <c r="Y24" s="30">
        <v>4688</v>
      </c>
      <c r="Z24" s="30">
        <v>5507</v>
      </c>
      <c r="AA24" s="30">
        <v>3792</v>
      </c>
      <c r="AB24" s="30">
        <v>10440</v>
      </c>
      <c r="AC24" s="30">
        <v>124</v>
      </c>
      <c r="AD24" s="31">
        <v>1050</v>
      </c>
      <c r="AE24" s="31">
        <v>226</v>
      </c>
      <c r="AF24" s="31">
        <v>735</v>
      </c>
      <c r="AG24" s="31">
        <v>1379</v>
      </c>
      <c r="AH24" s="31">
        <v>475</v>
      </c>
      <c r="AI24" s="31">
        <v>1356</v>
      </c>
      <c r="AJ24" s="31">
        <v>1097</v>
      </c>
      <c r="AK24" s="30">
        <v>1007</v>
      </c>
      <c r="AL24" s="31">
        <v>900</v>
      </c>
    </row>
    <row r="25" spans="1:38" x14ac:dyDescent="0.3">
      <c r="A25" s="28">
        <v>42705</v>
      </c>
      <c r="B25" s="30">
        <v>1517</v>
      </c>
      <c r="C25" s="31">
        <v>725</v>
      </c>
      <c r="D25" s="31">
        <v>708</v>
      </c>
      <c r="E25" s="31">
        <v>696</v>
      </c>
      <c r="F25" s="31">
        <v>350</v>
      </c>
      <c r="G25" s="30">
        <v>331</v>
      </c>
      <c r="H25" s="30">
        <v>1028</v>
      </c>
      <c r="I25" s="30">
        <v>1045</v>
      </c>
      <c r="J25" s="30">
        <v>1795</v>
      </c>
      <c r="K25" s="30">
        <v>282</v>
      </c>
      <c r="L25" s="30">
        <v>4224</v>
      </c>
      <c r="M25" s="30">
        <v>428</v>
      </c>
      <c r="N25" s="31">
        <v>913</v>
      </c>
      <c r="O25" s="31">
        <v>1659</v>
      </c>
      <c r="P25" s="30">
        <v>1720</v>
      </c>
      <c r="Q25" s="30">
        <v>1730</v>
      </c>
      <c r="R25" s="31">
        <v>1160</v>
      </c>
      <c r="S25" s="31">
        <v>1155</v>
      </c>
      <c r="T25" s="30">
        <v>649</v>
      </c>
      <c r="U25" s="30">
        <v>9143</v>
      </c>
      <c r="V25" s="30">
        <v>9151</v>
      </c>
      <c r="W25" s="30">
        <v>391</v>
      </c>
      <c r="X25" s="30">
        <v>369</v>
      </c>
      <c r="Y25" s="30">
        <v>5914</v>
      </c>
      <c r="Z25" s="30">
        <v>7011</v>
      </c>
      <c r="AA25" s="30">
        <v>4092</v>
      </c>
      <c r="AB25" s="30">
        <v>11647</v>
      </c>
      <c r="AC25" s="30">
        <v>212</v>
      </c>
      <c r="AD25" s="31">
        <v>810</v>
      </c>
      <c r="AE25" s="31">
        <v>247</v>
      </c>
      <c r="AF25" s="31">
        <v>663</v>
      </c>
      <c r="AG25" s="31">
        <v>955</v>
      </c>
      <c r="AH25" s="31">
        <v>563</v>
      </c>
      <c r="AI25" s="31">
        <v>1674</v>
      </c>
      <c r="AJ25" s="31">
        <v>1322</v>
      </c>
      <c r="AK25" s="30">
        <v>1188</v>
      </c>
      <c r="AL25" s="31">
        <v>1048</v>
      </c>
    </row>
    <row r="26" spans="1:38" x14ac:dyDescent="0.3">
      <c r="A26" s="28">
        <v>42736</v>
      </c>
      <c r="B26" s="30">
        <v>805</v>
      </c>
      <c r="C26" s="31">
        <v>942</v>
      </c>
      <c r="D26" s="31">
        <v>711</v>
      </c>
      <c r="E26" s="31">
        <v>705</v>
      </c>
      <c r="F26" s="31">
        <v>243</v>
      </c>
      <c r="G26" s="30">
        <v>200</v>
      </c>
      <c r="H26" s="30">
        <v>933</v>
      </c>
      <c r="I26" s="30">
        <v>1068</v>
      </c>
      <c r="J26" s="30">
        <v>1832</v>
      </c>
      <c r="K26" s="30">
        <v>310</v>
      </c>
      <c r="L26" s="30">
        <v>6038</v>
      </c>
      <c r="M26" s="30">
        <v>337</v>
      </c>
      <c r="N26" s="31">
        <v>846</v>
      </c>
      <c r="O26" s="31">
        <v>1795</v>
      </c>
      <c r="P26" s="30">
        <v>1748</v>
      </c>
      <c r="Q26" s="30">
        <v>1782</v>
      </c>
      <c r="R26" s="31">
        <v>1097</v>
      </c>
      <c r="S26" s="31">
        <v>1069</v>
      </c>
      <c r="T26" s="30">
        <v>772</v>
      </c>
      <c r="U26" s="30">
        <v>19378</v>
      </c>
      <c r="V26" s="30">
        <v>18966</v>
      </c>
      <c r="W26" s="30">
        <v>546</v>
      </c>
      <c r="X26" s="30">
        <v>752</v>
      </c>
      <c r="Y26" s="30">
        <v>5910</v>
      </c>
      <c r="Z26" s="30">
        <v>7280</v>
      </c>
      <c r="AA26" s="30">
        <v>4269</v>
      </c>
      <c r="AB26" s="30">
        <v>11806</v>
      </c>
      <c r="AC26" s="30">
        <v>284</v>
      </c>
      <c r="AD26" s="31">
        <v>1171</v>
      </c>
      <c r="AE26" s="31">
        <v>415</v>
      </c>
      <c r="AF26" s="31">
        <v>892</v>
      </c>
      <c r="AG26" s="31">
        <v>1353</v>
      </c>
      <c r="AH26" s="31">
        <v>956</v>
      </c>
      <c r="AI26" s="31">
        <v>1696</v>
      </c>
      <c r="AJ26" s="31">
        <v>1330</v>
      </c>
      <c r="AK26" s="30">
        <v>1221</v>
      </c>
      <c r="AL26" s="31">
        <v>1129</v>
      </c>
    </row>
    <row r="27" spans="1:38" x14ac:dyDescent="0.3">
      <c r="A27" s="28">
        <v>42767</v>
      </c>
      <c r="B27" s="30">
        <v>1143</v>
      </c>
      <c r="C27" s="31">
        <v>679</v>
      </c>
      <c r="D27" s="31">
        <v>689</v>
      </c>
      <c r="E27" s="31">
        <v>663</v>
      </c>
      <c r="F27" s="31">
        <v>292</v>
      </c>
      <c r="G27" s="30">
        <v>265</v>
      </c>
      <c r="H27" s="30">
        <v>866</v>
      </c>
      <c r="I27" s="30">
        <v>838</v>
      </c>
      <c r="J27" s="30">
        <v>1726</v>
      </c>
      <c r="K27" s="30">
        <v>618</v>
      </c>
      <c r="L27" s="30">
        <v>14862</v>
      </c>
      <c r="M27" s="30">
        <v>712</v>
      </c>
      <c r="N27" s="31">
        <v>1687</v>
      </c>
      <c r="O27" s="31">
        <v>4215</v>
      </c>
      <c r="P27" s="30">
        <v>1711</v>
      </c>
      <c r="Q27" s="30">
        <v>1961</v>
      </c>
      <c r="R27" s="31">
        <v>1146</v>
      </c>
      <c r="S27" s="31">
        <v>1019</v>
      </c>
      <c r="T27" s="30">
        <v>533</v>
      </c>
      <c r="U27" s="30">
        <v>23329</v>
      </c>
      <c r="V27" s="30">
        <v>21618</v>
      </c>
      <c r="W27" s="30">
        <v>660</v>
      </c>
      <c r="X27" s="30">
        <v>977</v>
      </c>
      <c r="Y27" s="30">
        <v>5578</v>
      </c>
      <c r="Z27" s="30">
        <v>6980</v>
      </c>
      <c r="AA27" s="30">
        <v>3907</v>
      </c>
      <c r="AB27" s="30">
        <v>12037</v>
      </c>
      <c r="AC27" s="30">
        <v>135</v>
      </c>
      <c r="AD27" s="31">
        <v>898</v>
      </c>
      <c r="AE27" s="31">
        <v>215</v>
      </c>
      <c r="AF27" s="31">
        <v>642</v>
      </c>
      <c r="AG27" s="31">
        <v>1103</v>
      </c>
      <c r="AH27" s="31">
        <v>810</v>
      </c>
      <c r="AI27" s="31">
        <v>1679</v>
      </c>
      <c r="AJ27" s="31">
        <v>1351</v>
      </c>
      <c r="AK27" s="30">
        <v>1293</v>
      </c>
      <c r="AL27" s="31">
        <v>1185</v>
      </c>
    </row>
    <row r="28" spans="1:38" x14ac:dyDescent="0.3">
      <c r="A28" s="28">
        <v>42795</v>
      </c>
      <c r="B28" s="30">
        <v>938</v>
      </c>
      <c r="C28" s="31">
        <v>627</v>
      </c>
      <c r="D28" s="31">
        <v>710</v>
      </c>
      <c r="E28" s="31">
        <v>685</v>
      </c>
      <c r="F28" s="31">
        <v>212</v>
      </c>
      <c r="G28" s="30">
        <v>201</v>
      </c>
      <c r="H28" s="30">
        <v>935</v>
      </c>
      <c r="I28" s="30">
        <v>976</v>
      </c>
      <c r="J28" s="30">
        <v>1885</v>
      </c>
      <c r="K28" s="30">
        <v>518</v>
      </c>
      <c r="L28" s="30">
        <v>18549</v>
      </c>
      <c r="M28" s="30">
        <v>524</v>
      </c>
      <c r="N28" s="31">
        <v>1255</v>
      </c>
      <c r="O28" s="31">
        <v>3404</v>
      </c>
      <c r="P28" s="30">
        <v>1669</v>
      </c>
      <c r="Q28" s="30">
        <v>1723</v>
      </c>
      <c r="R28" s="31">
        <v>1093</v>
      </c>
      <c r="S28" s="31">
        <v>1073</v>
      </c>
      <c r="T28" s="30">
        <v>543</v>
      </c>
      <c r="U28" s="30">
        <v>32902</v>
      </c>
      <c r="V28" s="30">
        <v>29609</v>
      </c>
      <c r="W28" s="30">
        <v>960</v>
      </c>
      <c r="X28" s="30">
        <v>1302</v>
      </c>
      <c r="Y28" s="30">
        <v>5573</v>
      </c>
      <c r="Z28" s="30">
        <v>6758</v>
      </c>
      <c r="AA28" s="30">
        <v>4339</v>
      </c>
      <c r="AB28" s="30">
        <v>11121</v>
      </c>
      <c r="AC28" s="30">
        <v>64</v>
      </c>
      <c r="AD28" s="31">
        <v>527</v>
      </c>
      <c r="AE28" s="31">
        <v>144</v>
      </c>
      <c r="AF28" s="31">
        <v>318</v>
      </c>
      <c r="AG28" s="31">
        <v>714</v>
      </c>
      <c r="AH28" s="31">
        <v>442</v>
      </c>
      <c r="AI28" s="31">
        <v>1400</v>
      </c>
      <c r="AJ28" s="31">
        <v>1089</v>
      </c>
      <c r="AK28" s="30">
        <v>954</v>
      </c>
      <c r="AL28" s="31">
        <v>876</v>
      </c>
    </row>
    <row r="29" spans="1:38" x14ac:dyDescent="0.3">
      <c r="A29" s="28">
        <v>42826</v>
      </c>
      <c r="B29" s="30">
        <v>812</v>
      </c>
      <c r="C29" s="31">
        <v>708</v>
      </c>
      <c r="D29" s="31">
        <v>636</v>
      </c>
      <c r="E29" s="31">
        <v>605</v>
      </c>
      <c r="F29" s="31">
        <v>120</v>
      </c>
      <c r="G29" s="30">
        <v>174</v>
      </c>
      <c r="H29" s="30">
        <v>620</v>
      </c>
      <c r="I29" s="30">
        <v>457</v>
      </c>
      <c r="J29" s="30">
        <v>1273</v>
      </c>
      <c r="K29" s="30">
        <v>464</v>
      </c>
      <c r="L29" s="30">
        <v>16614</v>
      </c>
      <c r="M29" s="30">
        <v>451</v>
      </c>
      <c r="N29" s="31">
        <v>1569</v>
      </c>
      <c r="O29" s="31">
        <v>3657</v>
      </c>
      <c r="P29" s="30">
        <v>1154</v>
      </c>
      <c r="Q29" s="30">
        <v>1438</v>
      </c>
      <c r="R29" s="31">
        <v>798</v>
      </c>
      <c r="S29" s="31">
        <v>776</v>
      </c>
      <c r="T29" s="30">
        <v>316</v>
      </c>
      <c r="U29" s="30">
        <v>32357</v>
      </c>
      <c r="V29" s="30">
        <v>28537</v>
      </c>
      <c r="W29" s="30">
        <v>712</v>
      </c>
      <c r="X29" s="30">
        <v>1191</v>
      </c>
      <c r="Y29" s="30">
        <v>4521</v>
      </c>
      <c r="Z29" s="30">
        <v>5648</v>
      </c>
      <c r="AA29" s="30">
        <v>3360</v>
      </c>
      <c r="AB29" s="30">
        <v>10005</v>
      </c>
      <c r="AC29" s="30">
        <v>120</v>
      </c>
      <c r="AD29" s="31">
        <v>460</v>
      </c>
      <c r="AE29" s="31">
        <v>97</v>
      </c>
      <c r="AF29" s="31">
        <v>322</v>
      </c>
      <c r="AG29" s="31">
        <v>553</v>
      </c>
      <c r="AH29" s="31">
        <v>251</v>
      </c>
      <c r="AI29" s="31">
        <v>997</v>
      </c>
      <c r="AJ29" s="31">
        <v>800</v>
      </c>
      <c r="AK29" s="30">
        <v>610</v>
      </c>
      <c r="AL29" s="31">
        <v>490</v>
      </c>
    </row>
    <row r="30" spans="1:38" x14ac:dyDescent="0.3">
      <c r="A30" s="28">
        <v>42856</v>
      </c>
      <c r="B30" s="30">
        <v>448</v>
      </c>
      <c r="C30" s="31">
        <v>666</v>
      </c>
      <c r="D30" s="31">
        <v>645</v>
      </c>
      <c r="E30" s="31">
        <v>621</v>
      </c>
      <c r="F30" s="31">
        <v>119</v>
      </c>
      <c r="G30" s="30">
        <v>117</v>
      </c>
      <c r="H30" s="30">
        <v>587</v>
      </c>
      <c r="I30" s="30">
        <v>301</v>
      </c>
      <c r="J30" s="30">
        <v>891</v>
      </c>
      <c r="K30" s="30">
        <v>276</v>
      </c>
      <c r="L30" s="30">
        <v>8429</v>
      </c>
      <c r="M30" s="30">
        <v>229</v>
      </c>
      <c r="N30" s="31">
        <v>681</v>
      </c>
      <c r="O30" s="31">
        <v>1559</v>
      </c>
      <c r="P30" s="30">
        <v>1004</v>
      </c>
      <c r="Q30" s="30">
        <v>1279</v>
      </c>
      <c r="R30" s="31">
        <v>560</v>
      </c>
      <c r="S30" s="31">
        <v>493</v>
      </c>
      <c r="T30" s="30">
        <v>379</v>
      </c>
      <c r="U30" s="30">
        <v>26725</v>
      </c>
      <c r="V30" s="30">
        <v>24402</v>
      </c>
      <c r="W30" s="30">
        <v>377</v>
      </c>
      <c r="X30" s="30">
        <v>966</v>
      </c>
      <c r="Y30" s="30">
        <v>4714</v>
      </c>
      <c r="Z30" s="30">
        <v>6158</v>
      </c>
      <c r="AA30" s="30">
        <v>3120</v>
      </c>
      <c r="AB30" s="30">
        <v>11141</v>
      </c>
      <c r="AC30" s="30">
        <v>541</v>
      </c>
      <c r="AD30" s="31">
        <v>1591</v>
      </c>
      <c r="AE30" s="31">
        <v>472</v>
      </c>
      <c r="AF30" s="31">
        <v>964</v>
      </c>
      <c r="AG30" s="31">
        <v>2322</v>
      </c>
      <c r="AH30" s="31">
        <v>600</v>
      </c>
      <c r="AI30" s="31">
        <v>833</v>
      </c>
      <c r="AJ30" s="31">
        <v>395</v>
      </c>
      <c r="AK30" s="30">
        <v>530</v>
      </c>
      <c r="AL30" s="31">
        <v>399</v>
      </c>
    </row>
    <row r="31" spans="1:38" x14ac:dyDescent="0.3">
      <c r="A31" s="28">
        <v>42887</v>
      </c>
      <c r="B31" s="30">
        <v>484</v>
      </c>
      <c r="C31" s="31">
        <v>560</v>
      </c>
      <c r="D31" s="31">
        <v>549</v>
      </c>
      <c r="E31" s="31">
        <v>540</v>
      </c>
      <c r="F31" s="31">
        <v>85</v>
      </c>
      <c r="G31" s="30">
        <v>86</v>
      </c>
      <c r="H31" s="30">
        <v>515</v>
      </c>
      <c r="I31" s="30">
        <v>188</v>
      </c>
      <c r="J31" s="30">
        <v>551</v>
      </c>
      <c r="K31" s="30">
        <v>222</v>
      </c>
      <c r="L31" s="30">
        <v>3915</v>
      </c>
      <c r="M31" s="30">
        <v>120</v>
      </c>
      <c r="N31" s="31">
        <v>578</v>
      </c>
      <c r="O31" s="31">
        <v>1180</v>
      </c>
      <c r="P31" s="30">
        <v>698</v>
      </c>
      <c r="Q31" s="30">
        <v>859</v>
      </c>
      <c r="R31" s="31">
        <v>372</v>
      </c>
      <c r="S31" s="31">
        <v>334</v>
      </c>
      <c r="T31" s="30">
        <v>316</v>
      </c>
      <c r="U31" s="30">
        <v>20310</v>
      </c>
      <c r="V31" s="30">
        <v>19108</v>
      </c>
      <c r="W31" s="30">
        <v>141</v>
      </c>
      <c r="X31" s="30">
        <v>589</v>
      </c>
      <c r="Y31" s="30">
        <v>4318</v>
      </c>
      <c r="Z31" s="30">
        <v>5358</v>
      </c>
      <c r="AA31" s="30">
        <v>2445</v>
      </c>
      <c r="AB31" s="30">
        <v>12778</v>
      </c>
      <c r="AC31" s="30">
        <v>921</v>
      </c>
      <c r="AD31" s="31">
        <v>3916</v>
      </c>
      <c r="AE31" s="31">
        <v>1526</v>
      </c>
      <c r="AF31" s="31">
        <v>2848</v>
      </c>
      <c r="AG31" s="31">
        <v>4952</v>
      </c>
      <c r="AH31" s="31">
        <v>1161</v>
      </c>
      <c r="AI31" s="31">
        <v>1456</v>
      </c>
      <c r="AJ31" s="31">
        <v>763</v>
      </c>
      <c r="AK31" s="30">
        <v>1426</v>
      </c>
      <c r="AL31" s="31">
        <v>1116</v>
      </c>
    </row>
    <row r="32" spans="1:38" x14ac:dyDescent="0.3">
      <c r="A32" s="28">
        <v>42917</v>
      </c>
      <c r="B32" s="30">
        <v>399</v>
      </c>
      <c r="C32" s="31">
        <v>563</v>
      </c>
      <c r="D32" s="31">
        <v>541</v>
      </c>
      <c r="E32" s="31">
        <v>532</v>
      </c>
      <c r="F32" s="31">
        <v>69</v>
      </c>
      <c r="G32" s="30">
        <v>79</v>
      </c>
      <c r="H32" s="30">
        <v>511</v>
      </c>
      <c r="I32" s="30">
        <v>454</v>
      </c>
      <c r="J32" s="30">
        <v>716</v>
      </c>
      <c r="K32" s="30">
        <v>168</v>
      </c>
      <c r="L32" s="30">
        <v>2135</v>
      </c>
      <c r="M32" s="30">
        <v>67</v>
      </c>
      <c r="N32" s="31">
        <v>398</v>
      </c>
      <c r="O32" s="31">
        <v>865</v>
      </c>
      <c r="P32" s="30">
        <v>774</v>
      </c>
      <c r="Q32" s="30">
        <v>1226</v>
      </c>
      <c r="R32" s="31">
        <v>548</v>
      </c>
      <c r="S32" s="31">
        <v>583</v>
      </c>
      <c r="T32" s="30">
        <v>214</v>
      </c>
      <c r="U32" s="30">
        <v>11153</v>
      </c>
      <c r="V32" s="30">
        <v>10710</v>
      </c>
      <c r="W32" s="30">
        <v>64</v>
      </c>
      <c r="X32" s="30">
        <v>473</v>
      </c>
      <c r="Y32" s="30">
        <v>4180</v>
      </c>
      <c r="Z32" s="30">
        <v>4968</v>
      </c>
      <c r="AA32" s="30">
        <v>2590</v>
      </c>
      <c r="AB32" s="30">
        <v>8875</v>
      </c>
      <c r="AC32" s="30">
        <v>77</v>
      </c>
      <c r="AD32" s="31">
        <v>725</v>
      </c>
      <c r="AE32" s="31">
        <v>131</v>
      </c>
      <c r="AF32" s="31">
        <v>532</v>
      </c>
      <c r="AG32" s="31">
        <v>911</v>
      </c>
      <c r="AH32" s="31">
        <v>214</v>
      </c>
      <c r="AI32" s="31">
        <v>1254</v>
      </c>
      <c r="AJ32" s="31">
        <v>1095</v>
      </c>
      <c r="AK32" s="30">
        <v>1058</v>
      </c>
      <c r="AL32" s="31">
        <v>953</v>
      </c>
    </row>
    <row r="33" spans="1:38" x14ac:dyDescent="0.3">
      <c r="A33" s="28">
        <v>42948</v>
      </c>
      <c r="B33" s="30">
        <v>368</v>
      </c>
      <c r="C33" s="31">
        <v>555</v>
      </c>
      <c r="D33" s="31">
        <v>553</v>
      </c>
      <c r="E33" s="31">
        <v>547</v>
      </c>
      <c r="F33" s="31">
        <v>65</v>
      </c>
      <c r="G33" s="30">
        <v>82</v>
      </c>
      <c r="H33" s="30">
        <v>500</v>
      </c>
      <c r="I33" s="30">
        <v>1148</v>
      </c>
      <c r="J33" s="30">
        <v>1330</v>
      </c>
      <c r="K33" s="30">
        <v>162</v>
      </c>
      <c r="L33" s="30">
        <v>1569</v>
      </c>
      <c r="M33" s="30">
        <v>48</v>
      </c>
      <c r="N33" s="31">
        <v>409</v>
      </c>
      <c r="O33" s="31">
        <v>783</v>
      </c>
      <c r="P33" s="30">
        <v>1012</v>
      </c>
      <c r="Q33" s="30">
        <v>1590</v>
      </c>
      <c r="R33" s="31">
        <v>800</v>
      </c>
      <c r="S33" s="31">
        <v>874</v>
      </c>
      <c r="T33" s="30">
        <v>165</v>
      </c>
      <c r="U33" s="30">
        <v>5728</v>
      </c>
      <c r="V33" s="30">
        <v>5914</v>
      </c>
      <c r="W33" s="30">
        <v>37</v>
      </c>
      <c r="X33" s="30">
        <v>269</v>
      </c>
      <c r="Y33" s="30">
        <v>4483</v>
      </c>
      <c r="Z33" s="30">
        <v>5414</v>
      </c>
      <c r="AA33" s="30">
        <v>3274</v>
      </c>
      <c r="AB33" s="30">
        <v>9228</v>
      </c>
      <c r="AC33" s="30">
        <v>130</v>
      </c>
      <c r="AD33" s="31">
        <v>667</v>
      </c>
      <c r="AE33" s="31">
        <v>161</v>
      </c>
      <c r="AF33" s="31">
        <v>532</v>
      </c>
      <c r="AG33" s="31">
        <v>885</v>
      </c>
      <c r="AH33" s="31">
        <v>313</v>
      </c>
      <c r="AI33" s="31">
        <v>1294</v>
      </c>
      <c r="AJ33" s="31">
        <v>1117</v>
      </c>
      <c r="AK33" s="30">
        <v>794</v>
      </c>
      <c r="AL33" s="31">
        <v>695</v>
      </c>
    </row>
    <row r="34" spans="1:38" x14ac:dyDescent="0.3">
      <c r="A34" s="28">
        <v>42979</v>
      </c>
      <c r="B34" s="30">
        <v>318</v>
      </c>
      <c r="C34" s="31">
        <v>564</v>
      </c>
      <c r="D34" s="31">
        <v>511</v>
      </c>
      <c r="E34" s="31">
        <v>503</v>
      </c>
      <c r="F34" s="31">
        <v>48</v>
      </c>
      <c r="G34" s="30">
        <v>119</v>
      </c>
      <c r="H34" s="30">
        <v>753</v>
      </c>
      <c r="I34" s="30">
        <v>1529</v>
      </c>
      <c r="J34" s="30">
        <v>1662</v>
      </c>
      <c r="K34" s="30">
        <v>133</v>
      </c>
      <c r="L34" s="30">
        <v>1260</v>
      </c>
      <c r="M34" s="30">
        <v>55</v>
      </c>
      <c r="N34" s="31">
        <v>447</v>
      </c>
      <c r="O34" s="31">
        <v>763</v>
      </c>
      <c r="P34" s="30">
        <v>990</v>
      </c>
      <c r="Q34" s="30">
        <v>1409</v>
      </c>
      <c r="R34" s="31">
        <v>874</v>
      </c>
      <c r="S34" s="31">
        <v>961</v>
      </c>
      <c r="T34" s="30">
        <v>123</v>
      </c>
      <c r="U34" s="30">
        <v>4867</v>
      </c>
      <c r="V34" s="30">
        <v>5098</v>
      </c>
      <c r="W34" s="30">
        <v>29</v>
      </c>
      <c r="X34" s="30">
        <v>342</v>
      </c>
      <c r="Y34" s="30">
        <v>5334</v>
      </c>
      <c r="Z34" s="30">
        <v>5903</v>
      </c>
      <c r="AA34" s="30">
        <v>3777</v>
      </c>
      <c r="AB34" s="30">
        <v>9133</v>
      </c>
      <c r="AC34" s="30">
        <v>59</v>
      </c>
      <c r="AD34" s="31">
        <v>530</v>
      </c>
      <c r="AE34" s="31">
        <v>74</v>
      </c>
      <c r="AF34" s="31">
        <v>368</v>
      </c>
      <c r="AG34" s="31">
        <v>738</v>
      </c>
      <c r="AH34" s="31">
        <v>152</v>
      </c>
      <c r="AI34" s="31">
        <v>1212</v>
      </c>
      <c r="AJ34" s="31">
        <v>1115</v>
      </c>
      <c r="AK34" s="30">
        <v>544</v>
      </c>
      <c r="AL34" s="31">
        <v>473</v>
      </c>
    </row>
    <row r="35" spans="1:38" x14ac:dyDescent="0.3">
      <c r="A35" s="28">
        <v>43009</v>
      </c>
      <c r="B35" s="30">
        <v>315</v>
      </c>
      <c r="C35" s="31">
        <v>499</v>
      </c>
      <c r="D35" s="31">
        <v>503</v>
      </c>
      <c r="E35" s="31">
        <v>492</v>
      </c>
      <c r="F35" s="31">
        <v>117</v>
      </c>
      <c r="G35" s="30">
        <v>162</v>
      </c>
      <c r="H35" s="30">
        <v>1138</v>
      </c>
      <c r="I35" s="30">
        <v>1411</v>
      </c>
      <c r="J35" s="30">
        <v>1541</v>
      </c>
      <c r="K35" s="30">
        <v>142</v>
      </c>
      <c r="L35" s="30">
        <v>1226</v>
      </c>
      <c r="M35" s="30">
        <v>105</v>
      </c>
      <c r="N35" s="31">
        <v>436</v>
      </c>
      <c r="O35" s="31">
        <v>805</v>
      </c>
      <c r="P35" s="30">
        <v>991</v>
      </c>
      <c r="Q35" s="30">
        <v>1310</v>
      </c>
      <c r="R35" s="31">
        <v>883</v>
      </c>
      <c r="S35" s="31">
        <v>952</v>
      </c>
      <c r="T35" s="30">
        <v>243</v>
      </c>
      <c r="U35" s="30">
        <v>4141</v>
      </c>
      <c r="V35" s="30">
        <v>4256</v>
      </c>
      <c r="W35" s="30">
        <v>37</v>
      </c>
      <c r="X35" s="30">
        <v>370</v>
      </c>
      <c r="Y35" s="30">
        <v>5223</v>
      </c>
      <c r="Z35" s="30">
        <v>6182</v>
      </c>
      <c r="AA35" s="30">
        <v>3687</v>
      </c>
      <c r="AB35" s="30">
        <v>10953</v>
      </c>
      <c r="AC35" s="30">
        <v>264</v>
      </c>
      <c r="AD35" s="31">
        <v>922</v>
      </c>
      <c r="AE35" s="31">
        <v>174</v>
      </c>
      <c r="AF35" s="31">
        <v>595</v>
      </c>
      <c r="AG35" s="31">
        <v>1246</v>
      </c>
      <c r="AH35" s="31">
        <v>696</v>
      </c>
      <c r="AI35" s="31">
        <v>1650</v>
      </c>
      <c r="AJ35" s="31">
        <v>859</v>
      </c>
      <c r="AK35" s="30">
        <v>1027</v>
      </c>
      <c r="AL35" s="31">
        <v>775</v>
      </c>
    </row>
    <row r="36" spans="1:38" x14ac:dyDescent="0.3">
      <c r="A36" s="28">
        <v>43040</v>
      </c>
      <c r="B36" s="30">
        <v>532</v>
      </c>
      <c r="C36" s="31">
        <v>477</v>
      </c>
      <c r="D36" s="31">
        <v>498</v>
      </c>
      <c r="E36" s="31">
        <v>493</v>
      </c>
      <c r="F36" s="31">
        <v>199</v>
      </c>
      <c r="G36" s="30">
        <v>196</v>
      </c>
      <c r="H36" s="30">
        <v>1016</v>
      </c>
      <c r="I36" s="30">
        <v>956</v>
      </c>
      <c r="J36" s="30">
        <v>1405</v>
      </c>
      <c r="K36" s="30">
        <v>237</v>
      </c>
      <c r="L36" s="30">
        <v>2251</v>
      </c>
      <c r="M36" s="30">
        <v>230</v>
      </c>
      <c r="N36" s="31">
        <v>710</v>
      </c>
      <c r="O36" s="31">
        <v>1206</v>
      </c>
      <c r="P36" s="30">
        <v>1221</v>
      </c>
      <c r="Q36" s="30">
        <v>1285</v>
      </c>
      <c r="R36" s="31">
        <v>859</v>
      </c>
      <c r="S36" s="31">
        <v>857</v>
      </c>
      <c r="T36" s="30">
        <v>382</v>
      </c>
      <c r="U36" s="30">
        <v>8859</v>
      </c>
      <c r="V36" s="30">
        <v>8847</v>
      </c>
      <c r="W36" s="30">
        <v>155</v>
      </c>
      <c r="X36" s="30">
        <v>402</v>
      </c>
      <c r="Y36" s="30">
        <v>3862</v>
      </c>
      <c r="Z36" s="30">
        <v>5093</v>
      </c>
      <c r="AA36" s="30">
        <v>3233</v>
      </c>
      <c r="AB36" s="30">
        <v>12098</v>
      </c>
      <c r="AC36" s="30">
        <v>129</v>
      </c>
      <c r="AD36" s="31">
        <v>784</v>
      </c>
      <c r="AE36" s="31">
        <v>212</v>
      </c>
      <c r="AF36" s="31">
        <v>473</v>
      </c>
      <c r="AG36" s="31">
        <v>1238</v>
      </c>
      <c r="AH36" s="31">
        <v>840</v>
      </c>
      <c r="AI36" s="31">
        <v>2043</v>
      </c>
      <c r="AJ36" s="31">
        <v>1046</v>
      </c>
      <c r="AK36" s="30">
        <v>1375</v>
      </c>
      <c r="AL36" s="31">
        <v>1012</v>
      </c>
    </row>
    <row r="37" spans="1:38" x14ac:dyDescent="0.3">
      <c r="A37" s="28">
        <v>43070</v>
      </c>
      <c r="B37" s="30">
        <v>1339</v>
      </c>
      <c r="C37" s="31">
        <v>571</v>
      </c>
      <c r="D37" s="31">
        <v>510</v>
      </c>
      <c r="E37" s="31">
        <v>503</v>
      </c>
      <c r="F37" s="31">
        <v>372</v>
      </c>
      <c r="G37" s="30">
        <v>334</v>
      </c>
      <c r="H37" s="30">
        <v>1114</v>
      </c>
      <c r="I37" s="30">
        <v>946</v>
      </c>
      <c r="J37" s="30">
        <v>2019</v>
      </c>
      <c r="K37" s="30">
        <v>360</v>
      </c>
      <c r="L37" s="30">
        <v>6047</v>
      </c>
      <c r="M37" s="30">
        <v>787</v>
      </c>
      <c r="N37" s="31">
        <v>1635</v>
      </c>
      <c r="O37" s="31">
        <v>2728</v>
      </c>
      <c r="P37" s="30">
        <v>1333</v>
      </c>
      <c r="Q37" s="30">
        <v>1380</v>
      </c>
      <c r="R37" s="31">
        <v>915</v>
      </c>
      <c r="S37" s="31">
        <v>782</v>
      </c>
      <c r="T37" s="30">
        <v>560</v>
      </c>
      <c r="U37" s="30">
        <v>16463</v>
      </c>
      <c r="V37" s="30">
        <v>16159</v>
      </c>
      <c r="W37" s="30">
        <v>421</v>
      </c>
      <c r="X37" s="30">
        <v>474</v>
      </c>
      <c r="Y37" s="30">
        <v>5298</v>
      </c>
      <c r="Z37" s="30">
        <v>6589</v>
      </c>
      <c r="AA37" s="30">
        <v>3599</v>
      </c>
      <c r="AB37" s="30">
        <v>13139</v>
      </c>
      <c r="AC37" s="30">
        <v>146</v>
      </c>
      <c r="AD37" s="31">
        <v>385</v>
      </c>
      <c r="AE37" s="31">
        <v>128</v>
      </c>
      <c r="AF37" s="31">
        <v>278</v>
      </c>
      <c r="AG37" s="31">
        <v>512</v>
      </c>
      <c r="AH37" s="31">
        <v>404</v>
      </c>
      <c r="AI37" s="31">
        <v>1451</v>
      </c>
      <c r="AJ37" s="31">
        <v>1103</v>
      </c>
      <c r="AK37" s="30">
        <v>1035</v>
      </c>
      <c r="AL37" s="31">
        <v>839</v>
      </c>
    </row>
    <row r="38" spans="1:38" x14ac:dyDescent="0.3">
      <c r="A38" s="28">
        <v>43101</v>
      </c>
      <c r="B38" s="30">
        <v>1115</v>
      </c>
      <c r="C38" s="31">
        <v>516</v>
      </c>
      <c r="D38" s="31">
        <v>711</v>
      </c>
      <c r="E38" s="31">
        <v>504</v>
      </c>
      <c r="F38" s="31">
        <v>250</v>
      </c>
      <c r="G38" s="30">
        <v>300</v>
      </c>
      <c r="H38" s="30">
        <v>1102</v>
      </c>
      <c r="I38" s="30">
        <v>656</v>
      </c>
      <c r="J38" s="30">
        <v>1896</v>
      </c>
      <c r="K38" s="30">
        <v>341</v>
      </c>
      <c r="L38" s="30">
        <v>8947</v>
      </c>
      <c r="M38" s="30">
        <v>527</v>
      </c>
      <c r="N38" s="31">
        <v>1224</v>
      </c>
      <c r="O38" s="31">
        <v>2525</v>
      </c>
      <c r="P38" s="30">
        <v>1596</v>
      </c>
      <c r="Q38" s="30">
        <v>1752</v>
      </c>
      <c r="R38" s="31">
        <v>896</v>
      </c>
      <c r="S38" s="31">
        <v>677</v>
      </c>
      <c r="T38" s="30">
        <v>872</v>
      </c>
      <c r="U38" s="30">
        <v>30169</v>
      </c>
      <c r="V38" s="30">
        <v>28551</v>
      </c>
      <c r="W38" s="30">
        <v>680</v>
      </c>
      <c r="X38" s="30">
        <v>514</v>
      </c>
      <c r="Y38" s="30">
        <v>5109</v>
      </c>
      <c r="Z38" s="30">
        <v>6955</v>
      </c>
      <c r="AA38" s="30">
        <v>3679</v>
      </c>
      <c r="AB38" s="30">
        <v>16810</v>
      </c>
      <c r="AC38" s="30">
        <v>316</v>
      </c>
      <c r="AD38" s="31">
        <v>722</v>
      </c>
      <c r="AE38" s="31">
        <v>404</v>
      </c>
      <c r="AF38" s="31">
        <v>617</v>
      </c>
      <c r="AG38" s="31">
        <v>1029</v>
      </c>
      <c r="AH38" s="31">
        <v>1094</v>
      </c>
      <c r="AI38" s="31">
        <v>1523</v>
      </c>
      <c r="AJ38" s="31">
        <v>916</v>
      </c>
      <c r="AK38" s="30">
        <v>1300</v>
      </c>
      <c r="AL38" s="31">
        <v>961</v>
      </c>
    </row>
    <row r="39" spans="1:38" x14ac:dyDescent="0.3">
      <c r="A39" s="28">
        <v>43132</v>
      </c>
      <c r="B39" s="30">
        <v>1572</v>
      </c>
      <c r="C39" s="31">
        <v>687</v>
      </c>
      <c r="D39" s="31">
        <v>689</v>
      </c>
      <c r="E39" s="31">
        <v>514</v>
      </c>
      <c r="F39" s="31">
        <v>275</v>
      </c>
      <c r="G39" s="30">
        <v>367</v>
      </c>
      <c r="H39" s="30">
        <v>936</v>
      </c>
      <c r="I39" s="30">
        <v>531</v>
      </c>
      <c r="J39" s="30">
        <v>1726</v>
      </c>
      <c r="K39" s="30">
        <v>608</v>
      </c>
      <c r="L39" s="30">
        <v>21826</v>
      </c>
      <c r="M39" s="30">
        <v>995</v>
      </c>
      <c r="N39" s="31">
        <v>3772</v>
      </c>
      <c r="O39" s="31">
        <v>6745</v>
      </c>
      <c r="P39" s="30">
        <v>1256</v>
      </c>
      <c r="Q39" s="30">
        <v>1201</v>
      </c>
      <c r="R39" s="31">
        <v>685</v>
      </c>
      <c r="S39" s="31">
        <v>562</v>
      </c>
      <c r="T39" s="30">
        <v>597</v>
      </c>
      <c r="U39" s="30">
        <v>36882</v>
      </c>
      <c r="V39" s="30">
        <v>34147</v>
      </c>
      <c r="W39" s="30">
        <v>1003</v>
      </c>
      <c r="X39" s="30">
        <v>462</v>
      </c>
      <c r="Y39" s="30">
        <v>4896</v>
      </c>
      <c r="Z39" s="30">
        <v>6425</v>
      </c>
      <c r="AA39" s="30">
        <v>3739</v>
      </c>
      <c r="AB39" s="30">
        <v>12563</v>
      </c>
      <c r="AC39" s="30">
        <v>85</v>
      </c>
      <c r="AD39" s="31">
        <v>608</v>
      </c>
      <c r="AE39" s="31">
        <v>203</v>
      </c>
      <c r="AF39" s="31">
        <v>467</v>
      </c>
      <c r="AG39" s="31">
        <v>829</v>
      </c>
      <c r="AH39" s="31">
        <v>682</v>
      </c>
      <c r="AI39" s="31">
        <v>1473</v>
      </c>
      <c r="AJ39" s="31">
        <v>1166</v>
      </c>
      <c r="AK39" s="30">
        <v>1174</v>
      </c>
      <c r="AL39" s="31">
        <v>1050</v>
      </c>
    </row>
    <row r="40" spans="1:38" x14ac:dyDescent="0.3">
      <c r="A40" s="28">
        <v>43160</v>
      </c>
      <c r="B40" s="30">
        <v>1778</v>
      </c>
      <c r="C40" s="31">
        <v>568</v>
      </c>
      <c r="D40" s="31">
        <v>710</v>
      </c>
      <c r="E40" s="31">
        <v>564</v>
      </c>
      <c r="F40" s="31">
        <v>387</v>
      </c>
      <c r="G40" s="30">
        <v>445</v>
      </c>
      <c r="H40" s="30">
        <v>1131</v>
      </c>
      <c r="I40" s="30">
        <v>749</v>
      </c>
      <c r="J40" s="30">
        <v>2032</v>
      </c>
      <c r="K40" s="30">
        <v>810</v>
      </c>
      <c r="L40" s="30">
        <v>24481</v>
      </c>
      <c r="M40" s="30">
        <v>951</v>
      </c>
      <c r="N40" s="31">
        <v>3120</v>
      </c>
      <c r="O40" s="31">
        <v>7237</v>
      </c>
      <c r="P40" s="30">
        <v>1388</v>
      </c>
      <c r="Q40" s="30">
        <v>1465</v>
      </c>
      <c r="R40" s="31">
        <v>899</v>
      </c>
      <c r="S40" s="31">
        <v>737</v>
      </c>
      <c r="T40" s="30">
        <v>720</v>
      </c>
      <c r="U40" s="30">
        <v>39257</v>
      </c>
      <c r="V40" s="30">
        <v>35776</v>
      </c>
      <c r="W40" s="30">
        <v>881</v>
      </c>
      <c r="X40" s="30">
        <v>285</v>
      </c>
      <c r="Y40" s="30">
        <v>5334</v>
      </c>
      <c r="Z40" s="30">
        <v>6675</v>
      </c>
      <c r="AA40" s="30">
        <v>3972</v>
      </c>
      <c r="AB40" s="30">
        <v>13639</v>
      </c>
      <c r="AC40" s="30">
        <v>114</v>
      </c>
      <c r="AD40" s="31">
        <v>627</v>
      </c>
      <c r="AE40" s="31">
        <v>172</v>
      </c>
      <c r="AF40" s="31">
        <v>427</v>
      </c>
      <c r="AG40" s="31">
        <v>776</v>
      </c>
      <c r="AH40" s="31">
        <v>550</v>
      </c>
      <c r="AI40" s="31">
        <v>1491</v>
      </c>
      <c r="AJ40" s="31">
        <v>1044</v>
      </c>
      <c r="AK40" s="30">
        <v>898</v>
      </c>
      <c r="AL40" s="31">
        <v>797</v>
      </c>
    </row>
    <row r="41" spans="1:38" x14ac:dyDescent="0.3">
      <c r="A41" s="28">
        <v>43191</v>
      </c>
      <c r="B41" s="30">
        <v>1279</v>
      </c>
      <c r="C41" s="31">
        <v>632</v>
      </c>
      <c r="D41" s="31">
        <v>636</v>
      </c>
      <c r="E41" s="31">
        <v>512</v>
      </c>
      <c r="F41" s="31">
        <v>211</v>
      </c>
      <c r="G41" s="30">
        <v>458</v>
      </c>
      <c r="H41" s="30">
        <v>941</v>
      </c>
      <c r="I41" s="30">
        <v>404</v>
      </c>
      <c r="J41" s="30">
        <v>1446</v>
      </c>
      <c r="K41" s="30">
        <v>683</v>
      </c>
      <c r="L41" s="30">
        <v>25367</v>
      </c>
      <c r="M41" s="30">
        <v>696</v>
      </c>
      <c r="N41" s="31">
        <v>2602</v>
      </c>
      <c r="O41" s="31">
        <v>6370</v>
      </c>
      <c r="P41" s="30">
        <v>745</v>
      </c>
      <c r="Q41" s="30">
        <v>1289</v>
      </c>
      <c r="R41" s="31">
        <v>499</v>
      </c>
      <c r="S41" s="31">
        <v>394</v>
      </c>
      <c r="T41" s="30">
        <v>313</v>
      </c>
      <c r="U41" s="30">
        <v>36296</v>
      </c>
      <c r="V41" s="30">
        <v>33380</v>
      </c>
      <c r="W41" s="30">
        <v>922</v>
      </c>
      <c r="X41" s="30">
        <v>940</v>
      </c>
      <c r="Y41" s="30">
        <v>4664</v>
      </c>
      <c r="Z41" s="30">
        <v>5754</v>
      </c>
      <c r="AA41" s="30">
        <v>3226</v>
      </c>
      <c r="AB41" s="30">
        <v>11007</v>
      </c>
      <c r="AC41" s="30">
        <v>84</v>
      </c>
      <c r="AD41" s="31">
        <v>536</v>
      </c>
      <c r="AE41" s="31">
        <v>169</v>
      </c>
      <c r="AF41" s="31">
        <v>374</v>
      </c>
      <c r="AG41" s="31">
        <v>801</v>
      </c>
      <c r="AH41" s="31">
        <v>469</v>
      </c>
      <c r="AI41" s="31">
        <v>1128</v>
      </c>
      <c r="AJ41" s="31">
        <v>820</v>
      </c>
      <c r="AK41" s="30">
        <v>822</v>
      </c>
      <c r="AL41" s="31">
        <v>696</v>
      </c>
    </row>
    <row r="42" spans="1:38" x14ac:dyDescent="0.3">
      <c r="A42" s="28">
        <v>43221</v>
      </c>
      <c r="B42" s="30">
        <v>505</v>
      </c>
      <c r="C42" s="31">
        <v>554</v>
      </c>
      <c r="D42" s="31">
        <v>645</v>
      </c>
      <c r="E42" s="31">
        <v>561</v>
      </c>
      <c r="F42" s="31">
        <v>144</v>
      </c>
      <c r="G42" s="30">
        <v>223</v>
      </c>
      <c r="H42" s="30">
        <v>623</v>
      </c>
      <c r="I42" s="30">
        <v>411</v>
      </c>
      <c r="J42" s="30">
        <v>1057</v>
      </c>
      <c r="K42" s="30">
        <v>306</v>
      </c>
      <c r="L42" s="30">
        <v>10701</v>
      </c>
      <c r="M42" s="30">
        <v>296</v>
      </c>
      <c r="N42" s="31">
        <v>772</v>
      </c>
      <c r="O42" s="31">
        <v>1902</v>
      </c>
      <c r="P42" s="30">
        <v>610</v>
      </c>
      <c r="Q42" s="30">
        <v>975</v>
      </c>
      <c r="R42" s="31">
        <v>381</v>
      </c>
      <c r="S42" s="31">
        <v>325</v>
      </c>
      <c r="T42" s="30">
        <v>221</v>
      </c>
      <c r="U42" s="30">
        <v>27796</v>
      </c>
      <c r="V42" s="30">
        <v>25834</v>
      </c>
      <c r="W42" s="30">
        <v>400</v>
      </c>
      <c r="X42" s="30">
        <v>1062</v>
      </c>
      <c r="Y42" s="30">
        <v>4272</v>
      </c>
      <c r="Z42" s="30">
        <v>5011</v>
      </c>
      <c r="AA42" s="30">
        <v>3239</v>
      </c>
      <c r="AB42" s="30">
        <v>8805</v>
      </c>
      <c r="AC42" s="30">
        <v>70</v>
      </c>
      <c r="AD42" s="31">
        <v>348</v>
      </c>
      <c r="AE42" s="31">
        <v>73</v>
      </c>
      <c r="AF42" s="31">
        <v>226</v>
      </c>
      <c r="AG42" s="31">
        <v>424</v>
      </c>
      <c r="AH42" s="31">
        <v>154</v>
      </c>
      <c r="AI42" s="31">
        <v>1052</v>
      </c>
      <c r="AJ42" s="31">
        <v>893</v>
      </c>
      <c r="AK42" s="30">
        <v>601</v>
      </c>
      <c r="AL42" s="31">
        <v>526</v>
      </c>
    </row>
    <row r="43" spans="1:38" x14ac:dyDescent="0.3">
      <c r="A43" s="28">
        <v>43252</v>
      </c>
      <c r="B43" s="30">
        <v>431</v>
      </c>
      <c r="C43" s="31">
        <v>593</v>
      </c>
      <c r="D43" s="31">
        <v>549</v>
      </c>
      <c r="E43" s="31">
        <v>568</v>
      </c>
      <c r="F43" s="31">
        <v>122</v>
      </c>
      <c r="G43" s="30">
        <v>174</v>
      </c>
      <c r="H43" s="30">
        <v>576</v>
      </c>
      <c r="I43" s="30">
        <v>893</v>
      </c>
      <c r="J43" s="30">
        <v>1360</v>
      </c>
      <c r="K43" s="30">
        <v>240</v>
      </c>
      <c r="L43" s="30">
        <v>4331</v>
      </c>
      <c r="M43" s="30">
        <v>187</v>
      </c>
      <c r="N43" s="31">
        <v>654</v>
      </c>
      <c r="O43" s="31">
        <v>1352</v>
      </c>
      <c r="P43" s="30">
        <v>609</v>
      </c>
      <c r="Q43" s="30">
        <v>1117</v>
      </c>
      <c r="R43" s="31">
        <v>390</v>
      </c>
      <c r="S43" s="31">
        <v>333</v>
      </c>
      <c r="T43" s="30">
        <v>214</v>
      </c>
      <c r="U43" s="30">
        <v>19439</v>
      </c>
      <c r="V43" s="30">
        <v>18757</v>
      </c>
      <c r="W43" s="30">
        <v>152</v>
      </c>
      <c r="X43" s="30">
        <v>807</v>
      </c>
      <c r="Y43" s="30">
        <v>4351</v>
      </c>
      <c r="Z43" s="30">
        <v>5057</v>
      </c>
      <c r="AA43" s="30">
        <v>3194</v>
      </c>
      <c r="AB43" s="30">
        <v>8180</v>
      </c>
      <c r="AC43" s="30">
        <v>284</v>
      </c>
      <c r="AD43" s="31">
        <v>381</v>
      </c>
      <c r="AE43" s="31">
        <v>84</v>
      </c>
      <c r="AF43" s="31">
        <v>343</v>
      </c>
      <c r="AG43" s="31">
        <v>524</v>
      </c>
      <c r="AH43" s="31">
        <v>234</v>
      </c>
      <c r="AI43" s="31">
        <v>833</v>
      </c>
      <c r="AJ43" s="31">
        <v>699</v>
      </c>
      <c r="AK43" s="30">
        <v>488</v>
      </c>
      <c r="AL43" s="31">
        <v>406</v>
      </c>
    </row>
    <row r="44" spans="1:38" x14ac:dyDescent="0.3">
      <c r="A44" s="28">
        <v>43282</v>
      </c>
      <c r="B44" s="30">
        <v>400</v>
      </c>
      <c r="C44" s="31">
        <v>613</v>
      </c>
      <c r="D44" s="31">
        <v>541</v>
      </c>
      <c r="E44" s="31">
        <v>560</v>
      </c>
      <c r="F44" s="31">
        <v>229</v>
      </c>
      <c r="G44" s="30">
        <v>205</v>
      </c>
      <c r="H44" s="30">
        <v>642</v>
      </c>
      <c r="I44" s="30">
        <v>1754</v>
      </c>
      <c r="J44" s="30">
        <v>2134</v>
      </c>
      <c r="K44" s="30">
        <v>207</v>
      </c>
      <c r="L44" s="30">
        <v>2499</v>
      </c>
      <c r="M44" s="30">
        <v>121</v>
      </c>
      <c r="N44" s="31">
        <v>515</v>
      </c>
      <c r="O44" s="31">
        <v>1069</v>
      </c>
      <c r="P44" s="30">
        <v>885</v>
      </c>
      <c r="Q44" s="30">
        <v>1272</v>
      </c>
      <c r="R44" s="31">
        <v>742</v>
      </c>
      <c r="S44" s="31">
        <v>753</v>
      </c>
      <c r="T44" s="30">
        <v>158</v>
      </c>
      <c r="U44" s="30">
        <v>10101</v>
      </c>
      <c r="V44" s="30">
        <v>9444</v>
      </c>
      <c r="W44" s="30">
        <v>55</v>
      </c>
      <c r="X44" s="30">
        <v>644</v>
      </c>
      <c r="Y44" s="30">
        <v>4128</v>
      </c>
      <c r="Z44" s="30">
        <v>4802</v>
      </c>
      <c r="AA44" s="30">
        <v>3579</v>
      </c>
      <c r="AB44" s="30">
        <v>7654</v>
      </c>
      <c r="AC44" s="30">
        <v>391</v>
      </c>
      <c r="AD44" s="31">
        <v>597</v>
      </c>
      <c r="AE44" s="31">
        <v>201</v>
      </c>
      <c r="AF44" s="31">
        <v>580</v>
      </c>
      <c r="AG44" s="31">
        <v>815</v>
      </c>
      <c r="AH44" s="31">
        <v>231</v>
      </c>
      <c r="AI44" s="31">
        <v>902</v>
      </c>
      <c r="AJ44" s="31">
        <v>750</v>
      </c>
      <c r="AK44" s="30">
        <v>640</v>
      </c>
      <c r="AL44" s="31">
        <v>570</v>
      </c>
    </row>
    <row r="45" spans="1:38" x14ac:dyDescent="0.3">
      <c r="A45" s="28">
        <v>43313</v>
      </c>
      <c r="B45" s="30">
        <v>385</v>
      </c>
      <c r="C45" s="31">
        <v>594</v>
      </c>
      <c r="D45" s="31">
        <v>553</v>
      </c>
      <c r="E45" s="31">
        <v>562</v>
      </c>
      <c r="F45" s="31">
        <v>257</v>
      </c>
      <c r="G45" s="30">
        <v>173</v>
      </c>
      <c r="H45" s="30">
        <v>710</v>
      </c>
      <c r="I45" s="30">
        <v>1338</v>
      </c>
      <c r="J45" s="30">
        <v>1701</v>
      </c>
      <c r="K45" s="30">
        <v>187</v>
      </c>
      <c r="L45" s="30">
        <v>1744</v>
      </c>
      <c r="M45" s="30">
        <v>80</v>
      </c>
      <c r="N45" s="31">
        <v>543</v>
      </c>
      <c r="O45" s="31">
        <v>983</v>
      </c>
      <c r="P45" s="30">
        <v>769</v>
      </c>
      <c r="Q45" s="30">
        <v>1101</v>
      </c>
      <c r="R45" s="31">
        <v>636</v>
      </c>
      <c r="S45" s="31">
        <v>663</v>
      </c>
      <c r="T45" s="30">
        <v>206</v>
      </c>
      <c r="U45" s="30">
        <v>6279</v>
      </c>
      <c r="V45" s="30">
        <v>6121</v>
      </c>
      <c r="W45" s="30">
        <v>94</v>
      </c>
      <c r="X45" s="30">
        <v>324</v>
      </c>
      <c r="Y45" s="30">
        <v>5305</v>
      </c>
      <c r="Z45" s="30">
        <v>5964</v>
      </c>
      <c r="AA45" s="30">
        <v>3580</v>
      </c>
      <c r="AB45" s="30">
        <v>9045</v>
      </c>
      <c r="AC45" s="30">
        <v>275</v>
      </c>
      <c r="AD45" s="31">
        <v>782</v>
      </c>
      <c r="AE45" s="31">
        <v>144</v>
      </c>
      <c r="AF45" s="31">
        <v>644</v>
      </c>
      <c r="AG45" s="31">
        <v>870</v>
      </c>
      <c r="AH45" s="31">
        <v>161</v>
      </c>
      <c r="AI45" s="31">
        <v>733</v>
      </c>
      <c r="AJ45" s="31">
        <v>630</v>
      </c>
      <c r="AK45" s="30">
        <v>484</v>
      </c>
      <c r="AL45" s="31">
        <v>416</v>
      </c>
    </row>
    <row r="46" spans="1:38" x14ac:dyDescent="0.3">
      <c r="A46" s="28">
        <v>43344</v>
      </c>
      <c r="B46" s="30">
        <v>341</v>
      </c>
      <c r="C46" s="31">
        <v>600</v>
      </c>
      <c r="D46" s="31">
        <v>511</v>
      </c>
      <c r="E46" s="31">
        <v>556</v>
      </c>
      <c r="F46" s="31">
        <v>187</v>
      </c>
      <c r="G46" s="30">
        <v>149</v>
      </c>
      <c r="H46" s="30">
        <v>920</v>
      </c>
      <c r="I46" s="30">
        <v>1061</v>
      </c>
      <c r="J46" s="30">
        <v>1439</v>
      </c>
      <c r="K46" s="30">
        <v>174</v>
      </c>
      <c r="L46" s="30">
        <v>1759</v>
      </c>
      <c r="M46" s="30">
        <v>68</v>
      </c>
      <c r="N46" s="31">
        <v>741</v>
      </c>
      <c r="O46" s="31">
        <v>1157</v>
      </c>
      <c r="P46" s="30">
        <v>739</v>
      </c>
      <c r="Q46" s="30">
        <v>1056</v>
      </c>
      <c r="R46" s="31">
        <v>627</v>
      </c>
      <c r="S46" s="31">
        <v>635</v>
      </c>
      <c r="T46" s="30">
        <v>174</v>
      </c>
      <c r="U46" s="30">
        <v>4649</v>
      </c>
      <c r="V46" s="30">
        <v>4475</v>
      </c>
      <c r="W46" s="30">
        <v>44</v>
      </c>
      <c r="X46" s="30">
        <v>270</v>
      </c>
      <c r="Y46" s="30">
        <v>4102</v>
      </c>
      <c r="Z46" s="30">
        <v>5058</v>
      </c>
      <c r="AA46" s="30">
        <v>3407</v>
      </c>
      <c r="AB46" s="30">
        <v>8584</v>
      </c>
      <c r="AC46" s="30">
        <v>539</v>
      </c>
      <c r="AD46" s="31">
        <v>1454</v>
      </c>
      <c r="AE46" s="31">
        <v>581</v>
      </c>
      <c r="AF46" s="31">
        <v>1141</v>
      </c>
      <c r="AG46" s="31">
        <v>1803</v>
      </c>
      <c r="AH46" s="31">
        <v>475</v>
      </c>
      <c r="AI46" s="31">
        <v>1088</v>
      </c>
      <c r="AJ46" s="31">
        <v>740</v>
      </c>
      <c r="AK46" s="30">
        <v>722</v>
      </c>
      <c r="AL46" s="31">
        <v>611</v>
      </c>
    </row>
    <row r="47" spans="1:38" x14ac:dyDescent="0.3">
      <c r="A47" s="28">
        <v>43374</v>
      </c>
      <c r="B47" s="30">
        <v>393</v>
      </c>
      <c r="C47" s="31">
        <v>637</v>
      </c>
      <c r="D47" s="31">
        <v>503</v>
      </c>
      <c r="E47" s="31">
        <v>596</v>
      </c>
      <c r="F47" s="31">
        <v>223</v>
      </c>
      <c r="G47" s="30">
        <v>187</v>
      </c>
      <c r="H47" s="30">
        <v>863</v>
      </c>
      <c r="I47" s="30">
        <v>1320</v>
      </c>
      <c r="J47" s="30">
        <v>1920</v>
      </c>
      <c r="K47" s="30">
        <v>218</v>
      </c>
      <c r="L47" s="30">
        <v>2242</v>
      </c>
      <c r="M47" s="30">
        <v>172</v>
      </c>
      <c r="N47" s="31">
        <v>1034</v>
      </c>
      <c r="O47" s="31">
        <v>1689</v>
      </c>
      <c r="P47" s="30">
        <v>1077</v>
      </c>
      <c r="Q47" s="30">
        <v>1042</v>
      </c>
      <c r="R47" s="31">
        <v>783</v>
      </c>
      <c r="S47" s="31">
        <v>815</v>
      </c>
      <c r="T47" s="30">
        <v>454</v>
      </c>
      <c r="U47" s="30">
        <v>5507</v>
      </c>
      <c r="V47" s="30">
        <v>5506</v>
      </c>
      <c r="W47" s="30">
        <v>59</v>
      </c>
      <c r="X47" s="30">
        <v>161</v>
      </c>
      <c r="Y47" s="30">
        <v>4810</v>
      </c>
      <c r="Z47" s="30">
        <v>6039</v>
      </c>
      <c r="AA47" s="30">
        <v>3414</v>
      </c>
      <c r="AB47" s="30">
        <v>11745</v>
      </c>
      <c r="AC47" s="30">
        <v>321</v>
      </c>
      <c r="AD47" s="31">
        <v>1548</v>
      </c>
      <c r="AE47" s="31">
        <v>372</v>
      </c>
      <c r="AF47" s="31">
        <v>958</v>
      </c>
      <c r="AG47" s="31">
        <v>2215</v>
      </c>
      <c r="AH47" s="31">
        <v>1466</v>
      </c>
      <c r="AI47" s="31">
        <v>1563</v>
      </c>
      <c r="AJ47" s="31">
        <v>851</v>
      </c>
      <c r="AK47" s="30">
        <v>1172</v>
      </c>
      <c r="AL47" s="31">
        <v>985</v>
      </c>
    </row>
    <row r="48" spans="1:38" x14ac:dyDescent="0.3">
      <c r="A48" s="28">
        <v>43405</v>
      </c>
      <c r="B48" s="30">
        <v>943</v>
      </c>
      <c r="C48" s="31">
        <v>639</v>
      </c>
      <c r="D48" s="31">
        <v>498</v>
      </c>
      <c r="E48" s="31">
        <v>548</v>
      </c>
      <c r="F48" s="31">
        <v>497</v>
      </c>
      <c r="G48" s="30">
        <v>392</v>
      </c>
      <c r="H48" s="30">
        <v>1091</v>
      </c>
      <c r="I48" s="30">
        <v>896</v>
      </c>
      <c r="J48" s="30">
        <v>2040</v>
      </c>
      <c r="K48" s="30">
        <v>240</v>
      </c>
      <c r="L48" s="30">
        <v>3973</v>
      </c>
      <c r="M48" s="30">
        <v>498</v>
      </c>
      <c r="N48" s="31">
        <v>1398</v>
      </c>
      <c r="O48" s="31">
        <v>2264</v>
      </c>
      <c r="P48" s="30">
        <v>1370</v>
      </c>
      <c r="Q48" s="30">
        <v>1353</v>
      </c>
      <c r="R48" s="31">
        <v>959</v>
      </c>
      <c r="S48" s="31">
        <v>887</v>
      </c>
      <c r="T48" s="30">
        <v>824</v>
      </c>
      <c r="U48" s="30">
        <v>13206</v>
      </c>
      <c r="V48" s="30">
        <v>13380</v>
      </c>
      <c r="W48" s="30">
        <v>256</v>
      </c>
      <c r="X48" s="30">
        <v>342</v>
      </c>
      <c r="Y48" s="30">
        <v>5526</v>
      </c>
      <c r="Z48" s="30">
        <v>6466</v>
      </c>
      <c r="AA48" s="30">
        <v>3778</v>
      </c>
      <c r="AB48" s="30">
        <v>11525</v>
      </c>
      <c r="AC48" s="30">
        <v>305</v>
      </c>
      <c r="AD48" s="31">
        <v>1275</v>
      </c>
      <c r="AE48" s="31">
        <v>307</v>
      </c>
      <c r="AF48" s="31">
        <v>864</v>
      </c>
      <c r="AG48" s="31">
        <v>1660</v>
      </c>
      <c r="AH48" s="31">
        <v>623</v>
      </c>
      <c r="AI48" s="31">
        <v>1396</v>
      </c>
      <c r="AJ48" s="31">
        <v>988</v>
      </c>
      <c r="AK48" s="30">
        <v>1353</v>
      </c>
      <c r="AL48" s="31">
        <v>1220</v>
      </c>
    </row>
    <row r="49" spans="1:38" x14ac:dyDescent="0.3">
      <c r="A49" s="28">
        <v>43435</v>
      </c>
      <c r="B49" s="30">
        <v>1909</v>
      </c>
      <c r="C49" s="31">
        <v>709</v>
      </c>
      <c r="D49" s="31">
        <v>510</v>
      </c>
      <c r="E49" s="31">
        <v>599</v>
      </c>
      <c r="F49" s="31">
        <v>437</v>
      </c>
      <c r="G49" s="30">
        <v>356</v>
      </c>
      <c r="H49" s="30">
        <v>1071</v>
      </c>
      <c r="I49" s="30">
        <v>598</v>
      </c>
      <c r="J49" s="30">
        <v>1548</v>
      </c>
      <c r="K49" s="30">
        <v>412</v>
      </c>
      <c r="L49" s="30">
        <v>9220</v>
      </c>
      <c r="M49" s="30">
        <v>754</v>
      </c>
      <c r="N49" s="31">
        <v>1333</v>
      </c>
      <c r="O49" s="31">
        <v>3072</v>
      </c>
      <c r="P49" s="30">
        <v>1126</v>
      </c>
      <c r="Q49" s="30">
        <v>1391</v>
      </c>
      <c r="R49" s="31">
        <v>757</v>
      </c>
      <c r="S49" s="31">
        <v>696</v>
      </c>
      <c r="T49" s="30">
        <v>924</v>
      </c>
      <c r="U49" s="30">
        <v>25207</v>
      </c>
      <c r="V49" s="30">
        <v>24842</v>
      </c>
      <c r="W49" s="30">
        <v>717</v>
      </c>
      <c r="X49" s="30">
        <v>624</v>
      </c>
      <c r="Y49" s="30">
        <v>5180</v>
      </c>
      <c r="Z49" s="30">
        <v>6128</v>
      </c>
      <c r="AA49" s="30">
        <v>3810</v>
      </c>
      <c r="AB49" s="30">
        <v>9674</v>
      </c>
      <c r="AC49" s="30">
        <v>193</v>
      </c>
      <c r="AD49" s="31">
        <v>848</v>
      </c>
      <c r="AE49" s="31">
        <v>204</v>
      </c>
      <c r="AF49" s="31">
        <v>697</v>
      </c>
      <c r="AG49" s="31">
        <v>1182</v>
      </c>
      <c r="AH49" s="31">
        <v>277</v>
      </c>
      <c r="AI49" s="31">
        <v>1088</v>
      </c>
      <c r="AJ49" s="31">
        <v>916</v>
      </c>
      <c r="AK49" s="30">
        <v>723</v>
      </c>
      <c r="AL49" s="31">
        <v>643</v>
      </c>
    </row>
    <row r="50" spans="1:38" x14ac:dyDescent="0.3">
      <c r="A50" s="28">
        <v>43466</v>
      </c>
      <c r="B50" s="30">
        <v>1166</v>
      </c>
      <c r="C50" s="31">
        <v>771</v>
      </c>
      <c r="D50" s="31">
        <v>629</v>
      </c>
      <c r="E50" s="31">
        <v>705</v>
      </c>
      <c r="F50" s="31">
        <v>418</v>
      </c>
      <c r="G50" s="30">
        <v>265</v>
      </c>
      <c r="H50" s="30">
        <v>1135</v>
      </c>
      <c r="I50" s="30">
        <v>1394</v>
      </c>
      <c r="J50" s="30">
        <v>2144</v>
      </c>
      <c r="K50" s="30">
        <v>310</v>
      </c>
      <c r="L50" s="30">
        <v>9079</v>
      </c>
      <c r="M50" s="30">
        <v>400</v>
      </c>
      <c r="N50" s="31">
        <v>1267</v>
      </c>
      <c r="O50" s="31">
        <v>2438</v>
      </c>
      <c r="P50" s="30">
        <v>1405</v>
      </c>
      <c r="Q50" s="30">
        <v>1748</v>
      </c>
      <c r="R50" s="31">
        <v>986</v>
      </c>
      <c r="S50" s="31">
        <v>890</v>
      </c>
      <c r="T50" s="30">
        <v>683</v>
      </c>
      <c r="U50" s="30">
        <v>30829</v>
      </c>
      <c r="V50" s="30">
        <v>29512</v>
      </c>
      <c r="W50" s="30">
        <v>976</v>
      </c>
      <c r="X50" s="30">
        <v>597</v>
      </c>
      <c r="Y50" s="30">
        <v>5650</v>
      </c>
      <c r="Z50" s="30">
        <v>6538</v>
      </c>
      <c r="AA50" s="30">
        <v>4383</v>
      </c>
      <c r="AB50" s="30">
        <v>10392</v>
      </c>
      <c r="AC50" s="30">
        <v>198</v>
      </c>
      <c r="AD50" s="31">
        <v>1200</v>
      </c>
      <c r="AE50" s="31">
        <v>269</v>
      </c>
      <c r="AF50" s="31">
        <v>819</v>
      </c>
      <c r="AG50" s="31">
        <v>1573</v>
      </c>
      <c r="AH50" s="31">
        <v>406</v>
      </c>
      <c r="AI50" s="31">
        <v>1409</v>
      </c>
      <c r="AJ50" s="31">
        <v>1183</v>
      </c>
      <c r="AK50" s="30">
        <v>1020</v>
      </c>
      <c r="AL50" s="31">
        <v>924</v>
      </c>
    </row>
    <row r="51" spans="1:38" x14ac:dyDescent="0.3">
      <c r="A51" s="28">
        <v>43497</v>
      </c>
      <c r="B51" s="30">
        <v>855</v>
      </c>
      <c r="C51" s="31">
        <v>742</v>
      </c>
      <c r="D51" s="31">
        <v>652</v>
      </c>
      <c r="E51" s="31">
        <v>649</v>
      </c>
      <c r="F51" s="31">
        <v>452</v>
      </c>
      <c r="G51" s="30">
        <v>253</v>
      </c>
      <c r="H51" s="30">
        <v>1014</v>
      </c>
      <c r="I51" s="30">
        <v>1401</v>
      </c>
      <c r="J51" s="30">
        <v>2537</v>
      </c>
      <c r="K51" s="30">
        <v>415</v>
      </c>
      <c r="L51" s="30">
        <v>11314</v>
      </c>
      <c r="M51" s="30">
        <v>493</v>
      </c>
      <c r="N51" s="31">
        <v>1282</v>
      </c>
      <c r="O51" s="31">
        <v>2972</v>
      </c>
      <c r="P51" s="30">
        <v>1399</v>
      </c>
      <c r="Q51" s="30">
        <v>1788</v>
      </c>
      <c r="R51" s="31">
        <v>963</v>
      </c>
      <c r="S51" s="31">
        <v>994</v>
      </c>
      <c r="T51" s="30">
        <v>736</v>
      </c>
      <c r="U51" s="30">
        <v>39887</v>
      </c>
      <c r="V51" s="30">
        <v>37060</v>
      </c>
      <c r="W51" s="30">
        <v>1261</v>
      </c>
      <c r="X51" s="30">
        <v>570</v>
      </c>
      <c r="Y51" s="30">
        <v>4879</v>
      </c>
      <c r="Z51" s="30">
        <v>6020</v>
      </c>
      <c r="AA51" s="30">
        <v>4397</v>
      </c>
      <c r="AB51" s="30">
        <v>9201</v>
      </c>
      <c r="AC51" s="30">
        <v>134</v>
      </c>
      <c r="AD51" s="31">
        <v>757</v>
      </c>
      <c r="AE51" s="31">
        <v>224</v>
      </c>
      <c r="AF51" s="31">
        <v>475</v>
      </c>
      <c r="AG51" s="31">
        <v>1110</v>
      </c>
      <c r="AH51" s="31">
        <v>476</v>
      </c>
      <c r="AI51" s="31">
        <v>1151</v>
      </c>
      <c r="AJ51" s="31">
        <v>904</v>
      </c>
      <c r="AK51" s="30">
        <v>780</v>
      </c>
      <c r="AL51" s="31">
        <v>642</v>
      </c>
    </row>
    <row r="52" spans="1:38" x14ac:dyDescent="0.3">
      <c r="A52" s="28">
        <v>43525</v>
      </c>
      <c r="B52" s="30">
        <v>1291</v>
      </c>
      <c r="C52" s="31">
        <v>710</v>
      </c>
      <c r="D52" s="31">
        <v>639</v>
      </c>
      <c r="E52" s="31">
        <v>638</v>
      </c>
      <c r="F52" s="31">
        <v>511</v>
      </c>
      <c r="G52" s="30">
        <v>327</v>
      </c>
      <c r="H52" s="30">
        <v>837</v>
      </c>
      <c r="I52" s="30">
        <v>713</v>
      </c>
      <c r="J52" s="30">
        <v>1866</v>
      </c>
      <c r="K52" s="30">
        <v>519</v>
      </c>
      <c r="L52" s="30">
        <v>18559</v>
      </c>
      <c r="M52" s="30">
        <v>847</v>
      </c>
      <c r="N52" s="31">
        <v>2237</v>
      </c>
      <c r="O52" s="31">
        <v>4745</v>
      </c>
      <c r="P52" s="30">
        <v>1903</v>
      </c>
      <c r="Q52" s="30">
        <v>1294</v>
      </c>
      <c r="R52" s="31">
        <v>1103</v>
      </c>
      <c r="S52" s="31">
        <v>843</v>
      </c>
      <c r="T52" s="30">
        <v>1187</v>
      </c>
      <c r="U52" s="30">
        <v>43330</v>
      </c>
      <c r="V52" s="30">
        <v>40141</v>
      </c>
      <c r="W52" s="30">
        <v>1206</v>
      </c>
      <c r="X52" s="30">
        <v>421</v>
      </c>
      <c r="Y52" s="30">
        <v>4667</v>
      </c>
      <c r="Z52" s="30">
        <v>6047</v>
      </c>
      <c r="AA52" s="30">
        <v>3770</v>
      </c>
      <c r="AB52" s="30">
        <v>10218</v>
      </c>
      <c r="AC52" s="30">
        <v>117</v>
      </c>
      <c r="AD52" s="31">
        <v>900</v>
      </c>
      <c r="AE52" s="31">
        <v>325</v>
      </c>
      <c r="AF52" s="31">
        <v>546</v>
      </c>
      <c r="AG52" s="31">
        <v>1306</v>
      </c>
      <c r="AH52" s="31">
        <v>679</v>
      </c>
      <c r="AI52" s="31">
        <v>1186</v>
      </c>
      <c r="AJ52" s="31">
        <v>839</v>
      </c>
      <c r="AK52" s="30">
        <v>863</v>
      </c>
      <c r="AL52" s="31">
        <v>713</v>
      </c>
    </row>
    <row r="53" spans="1:38" x14ac:dyDescent="0.3">
      <c r="A53" s="28">
        <v>43556</v>
      </c>
      <c r="B53" s="30">
        <v>1475</v>
      </c>
      <c r="C53" s="31">
        <v>637</v>
      </c>
      <c r="D53" s="31">
        <v>732</v>
      </c>
      <c r="E53" s="31">
        <v>728</v>
      </c>
      <c r="F53" s="31">
        <v>331</v>
      </c>
      <c r="G53" s="30">
        <v>358</v>
      </c>
      <c r="H53" s="30">
        <v>974</v>
      </c>
      <c r="I53" s="30">
        <v>579</v>
      </c>
      <c r="J53" s="30">
        <v>1719</v>
      </c>
      <c r="K53" s="30">
        <v>621</v>
      </c>
      <c r="L53" s="30">
        <v>22774</v>
      </c>
      <c r="M53" s="30">
        <v>925</v>
      </c>
      <c r="N53" s="31">
        <v>1899</v>
      </c>
      <c r="O53" s="31">
        <v>5325</v>
      </c>
      <c r="P53" s="30">
        <v>1569</v>
      </c>
      <c r="Q53" s="30">
        <v>1573</v>
      </c>
      <c r="R53" s="31">
        <v>990</v>
      </c>
      <c r="S53" s="31">
        <v>810</v>
      </c>
      <c r="T53" s="30">
        <v>721</v>
      </c>
      <c r="U53" s="30">
        <v>37159</v>
      </c>
      <c r="V53" s="30">
        <v>34945</v>
      </c>
      <c r="W53" s="30">
        <v>845</v>
      </c>
      <c r="X53" s="30">
        <v>824</v>
      </c>
      <c r="Y53" s="30">
        <v>4813</v>
      </c>
      <c r="Z53" s="30">
        <v>5799</v>
      </c>
      <c r="AA53" s="30">
        <v>3849</v>
      </c>
      <c r="AB53" s="30">
        <v>8652</v>
      </c>
      <c r="AC53" s="30">
        <v>118</v>
      </c>
      <c r="AD53" s="31">
        <v>630</v>
      </c>
      <c r="AE53" s="31">
        <v>175</v>
      </c>
      <c r="AF53" s="31">
        <v>359</v>
      </c>
      <c r="AG53" s="31">
        <v>883</v>
      </c>
      <c r="AH53" s="31">
        <v>595</v>
      </c>
      <c r="AI53" s="31">
        <v>1123</v>
      </c>
      <c r="AJ53" s="31">
        <v>864</v>
      </c>
      <c r="AK53" s="30">
        <v>840</v>
      </c>
      <c r="AL53" s="31">
        <v>765</v>
      </c>
    </row>
    <row r="54" spans="1:38" x14ac:dyDescent="0.3">
      <c r="A54" s="28">
        <v>43586</v>
      </c>
      <c r="B54" s="30">
        <v>873</v>
      </c>
      <c r="C54" s="31">
        <v>817</v>
      </c>
      <c r="D54" s="31">
        <v>753</v>
      </c>
      <c r="E54" s="31">
        <v>752</v>
      </c>
      <c r="F54" s="31">
        <v>274</v>
      </c>
      <c r="G54" s="30">
        <v>297</v>
      </c>
      <c r="H54" s="30">
        <v>749</v>
      </c>
      <c r="I54" s="30">
        <v>445</v>
      </c>
      <c r="J54" s="30">
        <v>1126</v>
      </c>
      <c r="K54" s="30">
        <v>335</v>
      </c>
      <c r="L54" s="30">
        <v>11896</v>
      </c>
      <c r="M54" s="30">
        <v>381</v>
      </c>
      <c r="N54" s="31">
        <v>916</v>
      </c>
      <c r="O54" s="31">
        <v>2258</v>
      </c>
      <c r="P54" s="30">
        <v>1175</v>
      </c>
      <c r="Q54" s="30">
        <v>1344</v>
      </c>
      <c r="R54" s="31">
        <v>768</v>
      </c>
      <c r="S54" s="31">
        <v>666</v>
      </c>
      <c r="T54" s="30">
        <v>485</v>
      </c>
      <c r="U54" s="30">
        <v>29805</v>
      </c>
      <c r="V54" s="30">
        <v>28588</v>
      </c>
      <c r="W54" s="30">
        <v>411</v>
      </c>
      <c r="X54" s="30">
        <v>1653</v>
      </c>
      <c r="Y54" s="30">
        <v>4198</v>
      </c>
      <c r="Z54" s="30">
        <v>5128</v>
      </c>
      <c r="AA54" s="30">
        <v>2684</v>
      </c>
      <c r="AB54" s="30">
        <v>8450</v>
      </c>
      <c r="AC54" s="30">
        <v>594</v>
      </c>
      <c r="AD54" s="31">
        <v>1277</v>
      </c>
      <c r="AE54" s="31">
        <v>450</v>
      </c>
      <c r="AF54" s="31">
        <v>808</v>
      </c>
      <c r="AG54" s="31">
        <v>1889</v>
      </c>
      <c r="AH54" s="31">
        <v>703</v>
      </c>
      <c r="AI54" s="31">
        <v>1224</v>
      </c>
      <c r="AJ54" s="31">
        <v>642</v>
      </c>
      <c r="AK54" s="30">
        <v>823</v>
      </c>
      <c r="AL54" s="31">
        <v>685</v>
      </c>
    </row>
    <row r="55" spans="1:38" x14ac:dyDescent="0.3">
      <c r="A55" s="28">
        <v>43617</v>
      </c>
      <c r="B55" s="30">
        <v>685</v>
      </c>
      <c r="C55" s="31">
        <v>832</v>
      </c>
      <c r="D55" s="31">
        <v>738</v>
      </c>
      <c r="E55" s="31">
        <v>735</v>
      </c>
      <c r="F55" s="31">
        <v>204</v>
      </c>
      <c r="G55" s="30">
        <v>199</v>
      </c>
      <c r="H55" s="30">
        <v>549</v>
      </c>
      <c r="I55" s="30">
        <v>461</v>
      </c>
      <c r="J55" s="30">
        <v>932</v>
      </c>
      <c r="K55" s="30">
        <v>247</v>
      </c>
      <c r="L55" s="30">
        <v>5162</v>
      </c>
      <c r="M55" s="30">
        <v>213</v>
      </c>
      <c r="N55" s="31">
        <v>639</v>
      </c>
      <c r="O55" s="31">
        <v>1447</v>
      </c>
      <c r="P55" s="30">
        <v>870</v>
      </c>
      <c r="Q55" s="30">
        <v>1047</v>
      </c>
      <c r="R55" s="31">
        <v>583</v>
      </c>
      <c r="S55" s="31">
        <v>501</v>
      </c>
      <c r="T55" s="30">
        <v>322</v>
      </c>
      <c r="U55" s="30">
        <v>21947</v>
      </c>
      <c r="V55" s="30">
        <v>21191</v>
      </c>
      <c r="W55" s="30">
        <v>185</v>
      </c>
      <c r="X55" s="30">
        <v>894</v>
      </c>
      <c r="Y55" s="30">
        <v>3978</v>
      </c>
      <c r="Z55" s="30">
        <v>4694</v>
      </c>
      <c r="AA55" s="30">
        <v>2508</v>
      </c>
      <c r="AB55" s="30">
        <v>8765</v>
      </c>
      <c r="AC55" s="30">
        <v>238</v>
      </c>
      <c r="AD55" s="31">
        <v>1264</v>
      </c>
      <c r="AE55" s="31">
        <v>499</v>
      </c>
      <c r="AF55" s="31">
        <v>906</v>
      </c>
      <c r="AG55" s="31">
        <v>1581</v>
      </c>
      <c r="AH55" s="31">
        <v>1597</v>
      </c>
      <c r="AI55" s="31">
        <v>1821</v>
      </c>
      <c r="AJ55" s="31">
        <v>1271</v>
      </c>
      <c r="AK55" s="30">
        <v>1879</v>
      </c>
      <c r="AL55" s="31">
        <v>1447</v>
      </c>
    </row>
    <row r="56" spans="1:38" x14ac:dyDescent="0.3">
      <c r="A56" s="28">
        <v>43647</v>
      </c>
      <c r="B56" s="30">
        <v>643</v>
      </c>
      <c r="C56" s="31">
        <v>792</v>
      </c>
      <c r="D56" s="31">
        <v>738</v>
      </c>
      <c r="E56" s="31">
        <v>736</v>
      </c>
      <c r="F56" s="31">
        <v>169</v>
      </c>
      <c r="G56" s="30">
        <v>150</v>
      </c>
      <c r="H56" s="30">
        <v>522</v>
      </c>
      <c r="I56" s="30">
        <v>768</v>
      </c>
      <c r="J56" s="30">
        <v>1148</v>
      </c>
      <c r="K56" s="30">
        <v>221</v>
      </c>
      <c r="L56" s="30">
        <v>2829</v>
      </c>
      <c r="M56" s="30">
        <v>134</v>
      </c>
      <c r="N56" s="31">
        <v>478</v>
      </c>
      <c r="O56" s="31">
        <v>1047</v>
      </c>
      <c r="P56" s="30">
        <v>746</v>
      </c>
      <c r="Q56" s="30">
        <v>1248</v>
      </c>
      <c r="R56" s="31">
        <v>528</v>
      </c>
      <c r="S56" s="31">
        <v>482</v>
      </c>
      <c r="T56" s="30">
        <v>259</v>
      </c>
      <c r="U56" s="30">
        <v>11620</v>
      </c>
      <c r="V56" s="30">
        <v>11135</v>
      </c>
      <c r="W56" s="30">
        <v>79</v>
      </c>
      <c r="X56" s="30">
        <v>598</v>
      </c>
      <c r="Y56" s="30">
        <v>4151</v>
      </c>
      <c r="Z56" s="30">
        <v>4818</v>
      </c>
      <c r="AA56" s="30">
        <v>3535</v>
      </c>
      <c r="AB56" s="30">
        <v>7373</v>
      </c>
      <c r="AC56" s="30">
        <v>412</v>
      </c>
      <c r="AD56" s="31">
        <v>1116</v>
      </c>
      <c r="AE56" s="31">
        <v>187</v>
      </c>
      <c r="AF56" s="31">
        <v>885</v>
      </c>
      <c r="AG56" s="31">
        <v>1416</v>
      </c>
      <c r="AH56" s="31">
        <v>383</v>
      </c>
      <c r="AI56" s="31">
        <v>1120</v>
      </c>
      <c r="AJ56" s="31">
        <v>964</v>
      </c>
      <c r="AK56" s="30">
        <v>873</v>
      </c>
      <c r="AL56" s="31">
        <v>760</v>
      </c>
    </row>
    <row r="57" spans="1:38" x14ac:dyDescent="0.3">
      <c r="A57" s="28">
        <v>43678</v>
      </c>
      <c r="B57" s="30">
        <v>562</v>
      </c>
      <c r="C57" s="31">
        <v>732</v>
      </c>
      <c r="D57" s="31">
        <v>747</v>
      </c>
      <c r="E57" s="31">
        <v>742</v>
      </c>
      <c r="F57" s="31">
        <v>153</v>
      </c>
      <c r="G57" s="30">
        <v>161</v>
      </c>
      <c r="H57" s="30">
        <v>812</v>
      </c>
      <c r="I57" s="30">
        <v>1433</v>
      </c>
      <c r="J57" s="30">
        <v>1762</v>
      </c>
      <c r="K57" s="30">
        <v>177</v>
      </c>
      <c r="L57" s="30">
        <v>1801</v>
      </c>
      <c r="M57" s="30">
        <v>90</v>
      </c>
      <c r="N57" s="31">
        <v>436</v>
      </c>
      <c r="O57" s="31">
        <v>856</v>
      </c>
      <c r="P57" s="30">
        <v>847</v>
      </c>
      <c r="Q57" s="30">
        <v>1514</v>
      </c>
      <c r="R57" s="31">
        <v>694</v>
      </c>
      <c r="S57" s="31">
        <v>693</v>
      </c>
      <c r="T57" s="30">
        <v>208</v>
      </c>
      <c r="U57" s="30">
        <v>6291</v>
      </c>
      <c r="V57" s="30">
        <v>6189</v>
      </c>
      <c r="W57" s="30">
        <v>47</v>
      </c>
      <c r="X57" s="30">
        <v>395</v>
      </c>
      <c r="Y57" s="30">
        <v>4521</v>
      </c>
      <c r="Z57" s="30">
        <v>5056</v>
      </c>
      <c r="AA57" s="30">
        <v>3589</v>
      </c>
      <c r="AB57" s="30">
        <v>7453</v>
      </c>
      <c r="AC57" s="30">
        <v>76</v>
      </c>
      <c r="AD57" s="31">
        <v>587</v>
      </c>
      <c r="AE57" s="31">
        <v>62</v>
      </c>
      <c r="AF57" s="31">
        <v>490</v>
      </c>
      <c r="AG57" s="31">
        <v>804</v>
      </c>
      <c r="AH57" s="31">
        <v>170</v>
      </c>
      <c r="AI57" s="31">
        <v>1042</v>
      </c>
      <c r="AJ57" s="31">
        <v>945</v>
      </c>
      <c r="AK57" s="30">
        <v>850</v>
      </c>
      <c r="AL57" s="31">
        <v>800</v>
      </c>
    </row>
    <row r="58" spans="1:38" x14ac:dyDescent="0.3">
      <c r="A58" s="28">
        <v>43709</v>
      </c>
      <c r="B58" s="30">
        <v>485</v>
      </c>
      <c r="C58" s="31">
        <v>829</v>
      </c>
      <c r="D58" s="31">
        <v>739</v>
      </c>
      <c r="E58" s="31">
        <v>708</v>
      </c>
      <c r="F58" s="31">
        <v>198</v>
      </c>
      <c r="G58" s="30">
        <v>144</v>
      </c>
      <c r="H58" s="30">
        <v>1264</v>
      </c>
      <c r="I58" s="30">
        <v>1709</v>
      </c>
      <c r="J58" s="30">
        <v>1930</v>
      </c>
      <c r="K58" s="30">
        <v>171</v>
      </c>
      <c r="L58" s="30">
        <v>1624</v>
      </c>
      <c r="M58" s="30">
        <v>41</v>
      </c>
      <c r="N58" s="31">
        <v>601</v>
      </c>
      <c r="O58" s="31">
        <v>1015</v>
      </c>
      <c r="P58" s="30">
        <v>1257</v>
      </c>
      <c r="Q58" s="30">
        <v>1700</v>
      </c>
      <c r="R58" s="31">
        <v>1071</v>
      </c>
      <c r="S58" s="31">
        <v>1147</v>
      </c>
      <c r="T58" s="30">
        <v>209</v>
      </c>
      <c r="U58" s="30">
        <v>3725</v>
      </c>
      <c r="V58" s="30">
        <v>3600</v>
      </c>
      <c r="W58" s="30">
        <v>35</v>
      </c>
      <c r="X58" s="30">
        <v>348</v>
      </c>
      <c r="Y58" s="30">
        <v>5532</v>
      </c>
      <c r="Z58" s="30">
        <v>6227</v>
      </c>
      <c r="AA58" s="30">
        <v>4222</v>
      </c>
      <c r="AB58" s="30">
        <v>8534</v>
      </c>
      <c r="AC58" s="30">
        <v>88</v>
      </c>
      <c r="AD58" s="31">
        <v>446</v>
      </c>
      <c r="AE58" s="31">
        <v>57</v>
      </c>
      <c r="AF58" s="31">
        <v>351</v>
      </c>
      <c r="AG58" s="31">
        <v>581</v>
      </c>
      <c r="AH58" s="31">
        <v>308</v>
      </c>
      <c r="AI58" s="31">
        <v>885</v>
      </c>
      <c r="AJ58" s="31">
        <v>825</v>
      </c>
      <c r="AK58" s="30">
        <v>627</v>
      </c>
      <c r="AL58" s="31">
        <v>536</v>
      </c>
    </row>
    <row r="59" spans="1:38" x14ac:dyDescent="0.3">
      <c r="A59" s="28">
        <v>43739</v>
      </c>
      <c r="B59" s="30">
        <v>446</v>
      </c>
      <c r="C59" s="31">
        <v>876</v>
      </c>
      <c r="D59" s="31">
        <v>853</v>
      </c>
      <c r="E59" s="31">
        <v>795</v>
      </c>
      <c r="F59" s="31">
        <v>264</v>
      </c>
      <c r="G59" s="30">
        <v>183</v>
      </c>
      <c r="H59" s="30">
        <v>1338</v>
      </c>
      <c r="I59" s="30">
        <v>1810</v>
      </c>
      <c r="J59" s="30">
        <v>2045</v>
      </c>
      <c r="K59" s="30">
        <v>192</v>
      </c>
      <c r="L59" s="30">
        <v>2035</v>
      </c>
      <c r="M59" s="30">
        <v>90</v>
      </c>
      <c r="N59" s="31">
        <v>836</v>
      </c>
      <c r="O59" s="31">
        <v>1288</v>
      </c>
      <c r="P59" s="30">
        <v>1388</v>
      </c>
      <c r="Q59" s="30">
        <v>1737</v>
      </c>
      <c r="R59" s="31">
        <v>1224</v>
      </c>
      <c r="S59" s="31">
        <v>1312</v>
      </c>
      <c r="T59" s="30">
        <v>250</v>
      </c>
      <c r="U59" s="30">
        <v>5407</v>
      </c>
      <c r="V59" s="30">
        <v>5327</v>
      </c>
      <c r="W59" s="30">
        <v>112</v>
      </c>
      <c r="X59" s="30">
        <v>475</v>
      </c>
      <c r="Y59" s="30">
        <v>5378</v>
      </c>
      <c r="Z59" s="30">
        <v>6006</v>
      </c>
      <c r="AA59" s="30">
        <v>4497</v>
      </c>
      <c r="AB59" s="30">
        <v>8019</v>
      </c>
      <c r="AC59" s="30">
        <v>221</v>
      </c>
      <c r="AD59" s="31">
        <v>504</v>
      </c>
      <c r="AE59" s="31">
        <v>169</v>
      </c>
      <c r="AF59" s="31">
        <v>452</v>
      </c>
      <c r="AG59" s="31">
        <v>641</v>
      </c>
      <c r="AH59" s="31">
        <v>296</v>
      </c>
      <c r="AI59" s="31">
        <v>790</v>
      </c>
      <c r="AJ59" s="31">
        <v>716</v>
      </c>
      <c r="AK59" s="30">
        <v>490</v>
      </c>
      <c r="AL59" s="31">
        <v>464</v>
      </c>
    </row>
    <row r="60" spans="1:38" x14ac:dyDescent="0.3">
      <c r="A60" s="28">
        <v>43770</v>
      </c>
      <c r="B60" s="30">
        <v>480</v>
      </c>
      <c r="C60" s="31">
        <v>983</v>
      </c>
      <c r="D60" s="31">
        <v>963</v>
      </c>
      <c r="E60" s="31">
        <v>915</v>
      </c>
      <c r="F60" s="31">
        <v>234</v>
      </c>
      <c r="G60" s="30">
        <v>163</v>
      </c>
      <c r="H60" s="30">
        <v>1258</v>
      </c>
      <c r="I60" s="30">
        <v>1380</v>
      </c>
      <c r="J60" s="30">
        <v>1725</v>
      </c>
      <c r="K60" s="30">
        <v>183</v>
      </c>
      <c r="L60" s="30">
        <v>2960</v>
      </c>
      <c r="M60" s="30">
        <v>181</v>
      </c>
      <c r="N60" s="31">
        <v>1001</v>
      </c>
      <c r="O60" s="31">
        <v>1730</v>
      </c>
      <c r="P60" s="30">
        <v>1317</v>
      </c>
      <c r="Q60" s="30">
        <v>1385</v>
      </c>
      <c r="R60" s="31">
        <v>1051</v>
      </c>
      <c r="S60" s="31">
        <v>1075</v>
      </c>
      <c r="T60" s="30">
        <v>510</v>
      </c>
      <c r="U60" s="30">
        <v>8251</v>
      </c>
      <c r="V60" s="30">
        <v>8007</v>
      </c>
      <c r="W60" s="30">
        <v>236</v>
      </c>
      <c r="X60" s="30">
        <v>508</v>
      </c>
      <c r="Y60" s="30">
        <v>4564</v>
      </c>
      <c r="Z60" s="30">
        <v>5155</v>
      </c>
      <c r="AA60" s="30">
        <v>3528</v>
      </c>
      <c r="AB60" s="30">
        <v>7415</v>
      </c>
      <c r="AC60" s="30">
        <v>378</v>
      </c>
      <c r="AD60" s="31">
        <v>1246</v>
      </c>
      <c r="AE60" s="31">
        <v>399</v>
      </c>
      <c r="AF60" s="31">
        <v>984</v>
      </c>
      <c r="AG60" s="31">
        <v>1489</v>
      </c>
      <c r="AH60" s="31">
        <v>326</v>
      </c>
      <c r="AI60" s="31">
        <v>969</v>
      </c>
      <c r="AJ60" s="31">
        <v>790</v>
      </c>
      <c r="AK60" s="30">
        <v>594</v>
      </c>
      <c r="AL60" s="31">
        <v>533</v>
      </c>
    </row>
    <row r="61" spans="1:38" x14ac:dyDescent="0.3">
      <c r="A61" s="28">
        <v>43800</v>
      </c>
      <c r="B61" s="30">
        <v>1187</v>
      </c>
      <c r="C61" s="31">
        <v>845</v>
      </c>
      <c r="D61" s="31">
        <v>770</v>
      </c>
      <c r="E61" s="31">
        <v>725</v>
      </c>
      <c r="F61" s="31">
        <v>350</v>
      </c>
      <c r="G61" s="30">
        <v>237</v>
      </c>
      <c r="H61" s="30">
        <v>1353</v>
      </c>
      <c r="I61" s="30">
        <v>1252</v>
      </c>
      <c r="J61" s="30">
        <v>2170</v>
      </c>
      <c r="K61" s="30">
        <v>210</v>
      </c>
      <c r="L61" s="30">
        <v>3968</v>
      </c>
      <c r="M61" s="30">
        <v>263</v>
      </c>
      <c r="N61" s="31">
        <v>1040</v>
      </c>
      <c r="O61" s="31">
        <v>1872</v>
      </c>
      <c r="P61" s="30">
        <v>1452</v>
      </c>
      <c r="Q61" s="30">
        <v>1696</v>
      </c>
      <c r="R61" s="31">
        <v>1062</v>
      </c>
      <c r="S61" s="31">
        <v>974</v>
      </c>
      <c r="T61" s="30">
        <v>695</v>
      </c>
      <c r="U61" s="30">
        <v>18611</v>
      </c>
      <c r="V61" s="30">
        <v>18760</v>
      </c>
      <c r="W61" s="30">
        <v>457</v>
      </c>
      <c r="X61" s="30">
        <v>859</v>
      </c>
      <c r="Y61" s="30">
        <v>5466</v>
      </c>
      <c r="Z61" s="30">
        <v>6558</v>
      </c>
      <c r="AA61" s="30">
        <v>4294</v>
      </c>
      <c r="AB61" s="30">
        <v>10057</v>
      </c>
      <c r="AC61" s="30">
        <v>78</v>
      </c>
      <c r="AD61" s="31">
        <v>691</v>
      </c>
      <c r="AE61" s="31">
        <v>110</v>
      </c>
      <c r="AF61" s="31">
        <v>473</v>
      </c>
      <c r="AG61" s="31">
        <v>903</v>
      </c>
      <c r="AH61" s="31">
        <v>376</v>
      </c>
      <c r="AI61" s="31">
        <v>729</v>
      </c>
      <c r="AJ61" s="31">
        <v>554</v>
      </c>
      <c r="AK61" s="30">
        <v>449</v>
      </c>
      <c r="AL61" s="31">
        <v>361</v>
      </c>
    </row>
    <row r="62" spans="1:38" x14ac:dyDescent="0.3">
      <c r="A62" s="28">
        <v>43831</v>
      </c>
      <c r="B62" s="30">
        <v>1261</v>
      </c>
      <c r="C62" s="31">
        <v>917</v>
      </c>
      <c r="D62" s="31">
        <v>913</v>
      </c>
      <c r="E62" s="31">
        <v>864</v>
      </c>
      <c r="F62" s="31">
        <v>451</v>
      </c>
      <c r="G62" s="30">
        <v>389</v>
      </c>
      <c r="H62" s="30">
        <v>1219</v>
      </c>
      <c r="I62" s="30">
        <v>1095</v>
      </c>
      <c r="J62" s="30">
        <v>2099</v>
      </c>
      <c r="K62" s="30">
        <v>373</v>
      </c>
      <c r="L62" s="30">
        <v>7112</v>
      </c>
      <c r="M62" s="30">
        <v>781</v>
      </c>
      <c r="N62" s="31">
        <v>1628</v>
      </c>
      <c r="O62" s="31">
        <v>2957</v>
      </c>
      <c r="P62" s="30">
        <v>1710</v>
      </c>
      <c r="Q62" s="30">
        <v>1700</v>
      </c>
      <c r="R62" s="31">
        <v>1146</v>
      </c>
      <c r="S62" s="31">
        <v>1043</v>
      </c>
      <c r="T62" s="30">
        <v>903</v>
      </c>
      <c r="U62" s="30">
        <v>30415</v>
      </c>
      <c r="V62" s="30">
        <v>28672</v>
      </c>
      <c r="W62" s="30">
        <v>687</v>
      </c>
      <c r="X62" s="30">
        <v>554</v>
      </c>
      <c r="Y62" s="30">
        <v>5603</v>
      </c>
      <c r="Z62" s="30">
        <v>6645</v>
      </c>
      <c r="AA62" s="30">
        <v>4076</v>
      </c>
      <c r="AB62" s="30">
        <v>9875</v>
      </c>
      <c r="AC62" s="30">
        <v>90</v>
      </c>
      <c r="AD62" s="31">
        <v>386</v>
      </c>
      <c r="AE62" s="31">
        <v>97</v>
      </c>
      <c r="AF62" s="31">
        <v>306</v>
      </c>
      <c r="AG62" s="31">
        <v>454</v>
      </c>
      <c r="AH62" s="31">
        <v>240</v>
      </c>
      <c r="AI62" s="31">
        <v>618</v>
      </c>
      <c r="AJ62" s="31">
        <v>494</v>
      </c>
      <c r="AK62" s="30">
        <v>507</v>
      </c>
      <c r="AL62" s="31">
        <v>445</v>
      </c>
    </row>
    <row r="63" spans="1:38" x14ac:dyDescent="0.3">
      <c r="A63" s="28">
        <v>43862</v>
      </c>
      <c r="B63" s="30">
        <v>3039</v>
      </c>
      <c r="C63" s="31">
        <v>967</v>
      </c>
      <c r="D63" s="31">
        <v>880</v>
      </c>
      <c r="E63" s="31">
        <v>843</v>
      </c>
      <c r="F63" s="31">
        <v>719</v>
      </c>
      <c r="G63" s="30">
        <v>605</v>
      </c>
      <c r="H63" s="30">
        <v>1593</v>
      </c>
      <c r="I63" s="30">
        <v>1132</v>
      </c>
      <c r="J63" s="30">
        <v>2633</v>
      </c>
      <c r="K63" s="30">
        <v>463</v>
      </c>
      <c r="L63" s="30">
        <v>14987</v>
      </c>
      <c r="M63" s="30">
        <v>1374</v>
      </c>
      <c r="N63" s="31">
        <v>2269</v>
      </c>
      <c r="O63" s="31">
        <v>4719</v>
      </c>
      <c r="P63" s="30">
        <v>1930</v>
      </c>
      <c r="Q63" s="30">
        <v>1819</v>
      </c>
      <c r="R63" s="31">
        <v>1197</v>
      </c>
      <c r="S63" s="31">
        <v>1013</v>
      </c>
      <c r="T63" s="30">
        <v>2279</v>
      </c>
      <c r="U63" s="30">
        <v>35005</v>
      </c>
      <c r="V63" s="30">
        <v>32556</v>
      </c>
      <c r="W63" s="30">
        <v>944</v>
      </c>
      <c r="X63" s="30">
        <v>277</v>
      </c>
      <c r="Y63" s="30">
        <v>5480</v>
      </c>
      <c r="Z63" s="30">
        <v>6697</v>
      </c>
      <c r="AA63" s="30">
        <v>4237</v>
      </c>
      <c r="AB63" s="30">
        <v>9468</v>
      </c>
      <c r="AC63" s="30">
        <v>54</v>
      </c>
      <c r="AD63" s="31">
        <v>330</v>
      </c>
      <c r="AE63" s="31">
        <v>78</v>
      </c>
      <c r="AF63" s="31">
        <v>220</v>
      </c>
      <c r="AG63" s="31">
        <v>396</v>
      </c>
      <c r="AH63" s="31">
        <v>214</v>
      </c>
      <c r="AI63" s="31">
        <v>481</v>
      </c>
      <c r="AJ63" s="31">
        <v>350</v>
      </c>
      <c r="AK63" s="30">
        <v>314</v>
      </c>
      <c r="AL63" s="31">
        <v>267</v>
      </c>
    </row>
    <row r="64" spans="1:38" x14ac:dyDescent="0.3">
      <c r="A64" s="28">
        <v>43891</v>
      </c>
      <c r="B64" s="30">
        <v>3855</v>
      </c>
      <c r="C64" s="31">
        <v>816</v>
      </c>
      <c r="D64" s="31">
        <v>854</v>
      </c>
      <c r="E64" s="31">
        <v>836</v>
      </c>
      <c r="F64" s="31">
        <v>712</v>
      </c>
      <c r="G64" s="30">
        <v>680</v>
      </c>
      <c r="H64" s="30">
        <v>1429</v>
      </c>
      <c r="I64" s="30">
        <v>766</v>
      </c>
      <c r="J64" s="30">
        <v>2370</v>
      </c>
      <c r="K64" s="30">
        <v>968</v>
      </c>
      <c r="L64" s="30">
        <v>26792</v>
      </c>
      <c r="M64" s="30">
        <v>1781</v>
      </c>
      <c r="N64" s="31">
        <v>4020</v>
      </c>
      <c r="O64" s="31">
        <v>7795</v>
      </c>
      <c r="P64" s="30">
        <v>1845</v>
      </c>
      <c r="Q64" s="30">
        <v>1702</v>
      </c>
      <c r="R64" s="31">
        <v>1160</v>
      </c>
      <c r="S64" s="31">
        <v>975</v>
      </c>
      <c r="T64" s="30">
        <v>1311</v>
      </c>
      <c r="U64" s="30">
        <v>33542</v>
      </c>
      <c r="V64" s="30">
        <v>30795</v>
      </c>
      <c r="W64" s="30">
        <v>1050</v>
      </c>
      <c r="X64" s="30">
        <v>418</v>
      </c>
      <c r="Y64" s="30">
        <v>5219</v>
      </c>
      <c r="Z64" s="30">
        <v>5977</v>
      </c>
      <c r="AA64" s="30">
        <v>4264</v>
      </c>
      <c r="AB64" s="30">
        <v>8294</v>
      </c>
      <c r="AC64" s="30">
        <v>16</v>
      </c>
      <c r="AD64" s="31">
        <v>221</v>
      </c>
      <c r="AE64" s="31">
        <v>51</v>
      </c>
      <c r="AF64" s="31">
        <v>155</v>
      </c>
      <c r="AG64" s="31">
        <v>297</v>
      </c>
      <c r="AH64" s="31">
        <v>178</v>
      </c>
      <c r="AI64" s="31">
        <v>325</v>
      </c>
      <c r="AJ64" s="31">
        <v>255</v>
      </c>
      <c r="AK64" s="30">
        <v>202</v>
      </c>
      <c r="AL64" s="31">
        <v>165</v>
      </c>
    </row>
    <row r="65" spans="1:38" x14ac:dyDescent="0.3">
      <c r="A65" s="28">
        <v>43922</v>
      </c>
      <c r="B65" s="30">
        <v>3391</v>
      </c>
      <c r="C65" s="31">
        <v>1229</v>
      </c>
      <c r="D65" s="31">
        <v>1222</v>
      </c>
      <c r="E65" s="31">
        <v>1215</v>
      </c>
      <c r="F65" s="31">
        <v>366</v>
      </c>
      <c r="G65" s="30">
        <v>689</v>
      </c>
      <c r="H65" s="30">
        <v>1159</v>
      </c>
      <c r="I65" s="30">
        <v>472</v>
      </c>
      <c r="J65" s="30">
        <v>1582</v>
      </c>
      <c r="K65" s="30">
        <v>752</v>
      </c>
      <c r="L65" s="30">
        <v>26249</v>
      </c>
      <c r="M65" s="30">
        <v>1176</v>
      </c>
      <c r="N65" s="31">
        <v>4035</v>
      </c>
      <c r="O65" s="31">
        <v>7271</v>
      </c>
      <c r="P65" s="30">
        <v>995</v>
      </c>
      <c r="Q65" s="30">
        <v>1410</v>
      </c>
      <c r="R65" s="31">
        <v>662</v>
      </c>
      <c r="S65" s="31">
        <v>499</v>
      </c>
      <c r="T65" s="30">
        <v>651</v>
      </c>
      <c r="U65" s="30">
        <v>31018</v>
      </c>
      <c r="V65" s="30">
        <v>29097</v>
      </c>
      <c r="W65" s="30">
        <v>788</v>
      </c>
      <c r="X65" s="30">
        <v>1061</v>
      </c>
      <c r="Y65" s="30">
        <v>5084</v>
      </c>
      <c r="Z65" s="30">
        <v>5775</v>
      </c>
      <c r="AA65" s="30">
        <v>3315</v>
      </c>
      <c r="AB65" s="30">
        <v>7341</v>
      </c>
      <c r="AC65" s="30">
        <v>11</v>
      </c>
      <c r="AD65" s="31">
        <v>118</v>
      </c>
      <c r="AE65" s="31">
        <v>26</v>
      </c>
      <c r="AF65" s="31">
        <v>48</v>
      </c>
      <c r="AG65" s="31">
        <v>223</v>
      </c>
      <c r="AH65" s="31">
        <v>75</v>
      </c>
      <c r="AI65" s="31">
        <v>252</v>
      </c>
      <c r="AJ65" s="31">
        <v>209</v>
      </c>
      <c r="AK65" s="30">
        <v>167</v>
      </c>
      <c r="AL65" s="31">
        <v>146</v>
      </c>
    </row>
    <row r="66" spans="1:38" x14ac:dyDescent="0.3">
      <c r="A66" s="28">
        <v>43952</v>
      </c>
      <c r="B66" s="30">
        <v>1803</v>
      </c>
      <c r="C66" s="31">
        <v>1336</v>
      </c>
      <c r="D66" s="31">
        <v>1083</v>
      </c>
      <c r="E66" s="31">
        <v>1079</v>
      </c>
      <c r="F66" s="31">
        <v>279</v>
      </c>
      <c r="G66" s="30">
        <v>372</v>
      </c>
      <c r="H66" s="30">
        <v>750</v>
      </c>
      <c r="I66" s="30">
        <v>622</v>
      </c>
      <c r="J66" s="30">
        <v>1479</v>
      </c>
      <c r="K66" s="30">
        <v>375</v>
      </c>
      <c r="L66" s="30">
        <v>15693</v>
      </c>
      <c r="M66" s="30">
        <v>546</v>
      </c>
      <c r="N66" s="31">
        <v>1334</v>
      </c>
      <c r="O66" s="31">
        <v>3066</v>
      </c>
      <c r="P66" s="30">
        <v>749</v>
      </c>
      <c r="Q66" s="30">
        <v>1441</v>
      </c>
      <c r="R66" s="31">
        <v>505</v>
      </c>
      <c r="S66" s="31">
        <v>424</v>
      </c>
      <c r="T66" s="30">
        <v>427</v>
      </c>
      <c r="U66" s="30">
        <v>20323</v>
      </c>
      <c r="V66" s="30">
        <v>19591</v>
      </c>
      <c r="W66" s="30">
        <v>475</v>
      </c>
      <c r="X66" s="30">
        <v>1722</v>
      </c>
      <c r="Y66" s="30">
        <v>4418</v>
      </c>
      <c r="Z66" s="30">
        <v>5126</v>
      </c>
      <c r="AA66" s="30">
        <v>3778</v>
      </c>
      <c r="AB66" s="30">
        <v>6900</v>
      </c>
      <c r="AC66" s="30">
        <v>19</v>
      </c>
      <c r="AD66" s="31">
        <v>109</v>
      </c>
      <c r="AE66" s="31">
        <v>12</v>
      </c>
      <c r="AF66" s="31">
        <v>59</v>
      </c>
      <c r="AG66" s="31">
        <v>169</v>
      </c>
      <c r="AH66" s="31">
        <v>83</v>
      </c>
      <c r="AI66" s="31">
        <v>246</v>
      </c>
      <c r="AJ66" s="31">
        <v>108</v>
      </c>
      <c r="AK66" s="30">
        <v>123</v>
      </c>
      <c r="AL66" s="31">
        <v>105</v>
      </c>
    </row>
    <row r="67" spans="1:38" x14ac:dyDescent="0.3">
      <c r="A67" s="28">
        <v>43983</v>
      </c>
      <c r="B67" s="30">
        <v>947</v>
      </c>
      <c r="C67" s="31">
        <v>1479</v>
      </c>
      <c r="D67" s="31">
        <v>1132</v>
      </c>
      <c r="E67" s="31">
        <v>1125</v>
      </c>
      <c r="F67" s="31">
        <v>245</v>
      </c>
      <c r="G67" s="30">
        <v>297</v>
      </c>
      <c r="H67" s="30">
        <v>868</v>
      </c>
      <c r="I67" s="30">
        <v>1088</v>
      </c>
      <c r="J67" s="30">
        <v>1651</v>
      </c>
      <c r="K67" s="30">
        <v>291</v>
      </c>
      <c r="L67" s="30">
        <v>6908</v>
      </c>
      <c r="M67" s="30">
        <v>329</v>
      </c>
      <c r="N67" s="31">
        <v>828</v>
      </c>
      <c r="O67" s="31">
        <v>1830</v>
      </c>
      <c r="P67" s="30">
        <v>980</v>
      </c>
      <c r="Q67" s="30">
        <v>1384</v>
      </c>
      <c r="R67" s="31">
        <v>762</v>
      </c>
      <c r="S67" s="31">
        <v>739</v>
      </c>
      <c r="T67" s="30">
        <v>362</v>
      </c>
      <c r="U67" s="30">
        <v>12693</v>
      </c>
      <c r="V67" s="30">
        <v>12304</v>
      </c>
      <c r="W67" s="30">
        <v>199</v>
      </c>
      <c r="X67" s="30">
        <v>1174</v>
      </c>
      <c r="Y67" s="30">
        <v>4391</v>
      </c>
      <c r="Z67" s="30">
        <v>5045</v>
      </c>
      <c r="AA67" s="30">
        <v>3534</v>
      </c>
      <c r="AB67" s="30">
        <v>7006</v>
      </c>
      <c r="AC67" s="30">
        <v>114</v>
      </c>
      <c r="AD67" s="31">
        <v>497</v>
      </c>
      <c r="AE67" s="31">
        <v>196</v>
      </c>
      <c r="AF67" s="31">
        <v>339</v>
      </c>
      <c r="AG67" s="31">
        <v>925</v>
      </c>
      <c r="AH67" s="31">
        <v>466</v>
      </c>
      <c r="AI67" s="31">
        <v>434</v>
      </c>
      <c r="AJ67" s="31">
        <v>69</v>
      </c>
      <c r="AK67" s="30">
        <v>355</v>
      </c>
      <c r="AL67" s="31">
        <v>238</v>
      </c>
    </row>
    <row r="68" spans="1:38" x14ac:dyDescent="0.3">
      <c r="A68" s="28">
        <v>44013</v>
      </c>
      <c r="B68" s="30">
        <v>781</v>
      </c>
      <c r="C68" s="31">
        <v>1540</v>
      </c>
      <c r="D68" s="31">
        <v>1402</v>
      </c>
      <c r="E68" s="31">
        <v>1406</v>
      </c>
      <c r="F68" s="31">
        <v>283</v>
      </c>
      <c r="G68" s="30">
        <v>200</v>
      </c>
      <c r="H68" s="30">
        <v>1033</v>
      </c>
      <c r="I68" s="30">
        <v>1556</v>
      </c>
      <c r="J68" s="30">
        <v>2036</v>
      </c>
      <c r="K68" s="30">
        <v>216</v>
      </c>
      <c r="L68" s="30">
        <v>3248</v>
      </c>
      <c r="M68" s="30">
        <v>214</v>
      </c>
      <c r="N68" s="31">
        <v>627</v>
      </c>
      <c r="O68" s="31">
        <v>1278</v>
      </c>
      <c r="P68" s="30">
        <v>1275</v>
      </c>
      <c r="Q68" s="30">
        <v>1375</v>
      </c>
      <c r="R68" s="31">
        <v>1108</v>
      </c>
      <c r="S68" s="31">
        <v>1157</v>
      </c>
      <c r="T68" s="30">
        <v>273</v>
      </c>
      <c r="U68" s="30">
        <v>9731</v>
      </c>
      <c r="V68" s="30">
        <v>9505</v>
      </c>
      <c r="W68" s="30">
        <v>92</v>
      </c>
      <c r="X68" s="30">
        <v>660</v>
      </c>
      <c r="Y68" s="30">
        <v>4342</v>
      </c>
      <c r="Z68" s="30">
        <v>5008</v>
      </c>
      <c r="AA68" s="30">
        <v>3780</v>
      </c>
      <c r="AB68" s="30">
        <v>6972</v>
      </c>
      <c r="AC68" s="30">
        <v>764</v>
      </c>
      <c r="AD68" s="31">
        <v>1299</v>
      </c>
      <c r="AE68" s="31">
        <v>279</v>
      </c>
      <c r="AF68" s="31">
        <v>929</v>
      </c>
      <c r="AG68" s="31">
        <v>1677</v>
      </c>
      <c r="AH68" s="31">
        <v>312</v>
      </c>
      <c r="AI68" s="31">
        <v>715</v>
      </c>
      <c r="AJ68" s="31">
        <v>489</v>
      </c>
      <c r="AK68" s="30">
        <v>574</v>
      </c>
      <c r="AL68" s="31">
        <v>550</v>
      </c>
    </row>
    <row r="69" spans="1:38" x14ac:dyDescent="0.3">
      <c r="A69" s="28">
        <v>44044</v>
      </c>
      <c r="B69" s="30">
        <v>773</v>
      </c>
      <c r="C69" s="31">
        <v>1174</v>
      </c>
      <c r="D69" s="31">
        <v>1265</v>
      </c>
      <c r="E69" s="31">
        <v>1264</v>
      </c>
      <c r="F69" s="31">
        <v>272</v>
      </c>
      <c r="G69" s="30">
        <v>151</v>
      </c>
      <c r="H69" s="30">
        <v>1128</v>
      </c>
      <c r="I69" s="30">
        <v>1742</v>
      </c>
      <c r="J69" s="30">
        <v>2139</v>
      </c>
      <c r="K69" s="30">
        <v>181</v>
      </c>
      <c r="L69" s="30">
        <v>2089</v>
      </c>
      <c r="M69" s="30">
        <v>142</v>
      </c>
      <c r="N69" s="31">
        <v>559</v>
      </c>
      <c r="O69" s="31">
        <v>1036</v>
      </c>
      <c r="P69" s="30">
        <v>1075</v>
      </c>
      <c r="Q69" s="30">
        <v>1341</v>
      </c>
      <c r="R69" s="31">
        <v>940</v>
      </c>
      <c r="S69" s="31">
        <v>995</v>
      </c>
      <c r="T69" s="30">
        <v>241</v>
      </c>
      <c r="U69" s="30">
        <v>5622</v>
      </c>
      <c r="V69" s="30">
        <v>5550</v>
      </c>
      <c r="W69" s="30">
        <v>48</v>
      </c>
      <c r="X69" s="30">
        <v>292</v>
      </c>
      <c r="Y69" s="30">
        <v>4756</v>
      </c>
      <c r="Z69" s="30">
        <v>5408</v>
      </c>
      <c r="AA69" s="30">
        <v>3762</v>
      </c>
      <c r="AB69" s="30">
        <v>8166</v>
      </c>
      <c r="AC69" s="30">
        <v>283</v>
      </c>
      <c r="AD69" s="31">
        <v>1245</v>
      </c>
      <c r="AE69" s="31">
        <v>352</v>
      </c>
      <c r="AF69" s="31">
        <v>952</v>
      </c>
      <c r="AG69" s="31">
        <v>1532</v>
      </c>
      <c r="AH69" s="31">
        <v>578</v>
      </c>
      <c r="AI69" s="31">
        <v>896</v>
      </c>
      <c r="AJ69" s="31">
        <v>646</v>
      </c>
      <c r="AK69" s="30">
        <v>839</v>
      </c>
      <c r="AL69" s="31">
        <v>679</v>
      </c>
    </row>
    <row r="70" spans="1:38" x14ac:dyDescent="0.3">
      <c r="A70" s="28">
        <v>44075</v>
      </c>
      <c r="B70" s="30">
        <v>741</v>
      </c>
      <c r="C70" s="31">
        <v>1468</v>
      </c>
      <c r="D70" s="31">
        <v>1606</v>
      </c>
      <c r="E70" s="31">
        <v>1586</v>
      </c>
      <c r="F70" s="31">
        <v>296</v>
      </c>
      <c r="G70" s="30">
        <v>197</v>
      </c>
      <c r="H70" s="30">
        <v>1485</v>
      </c>
      <c r="I70" s="30">
        <v>1953</v>
      </c>
      <c r="J70" s="30">
        <v>2407</v>
      </c>
      <c r="K70" s="30">
        <v>154</v>
      </c>
      <c r="L70" s="30">
        <v>1743</v>
      </c>
      <c r="M70" s="30">
        <v>82</v>
      </c>
      <c r="N70" s="31">
        <v>886</v>
      </c>
      <c r="O70" s="31">
        <v>1269</v>
      </c>
      <c r="P70" s="30">
        <v>1172</v>
      </c>
      <c r="Q70" s="30">
        <v>1483</v>
      </c>
      <c r="R70" s="31">
        <v>1069</v>
      </c>
      <c r="S70" s="31">
        <v>1137</v>
      </c>
      <c r="T70" s="30">
        <v>243</v>
      </c>
      <c r="U70" s="30">
        <v>4837</v>
      </c>
      <c r="V70" s="30">
        <v>4778</v>
      </c>
      <c r="W70" s="30">
        <v>29</v>
      </c>
      <c r="X70" s="30">
        <v>372</v>
      </c>
      <c r="Y70" s="30">
        <v>5547</v>
      </c>
      <c r="Z70" s="30">
        <v>6044</v>
      </c>
      <c r="AA70" s="30">
        <v>4724</v>
      </c>
      <c r="AB70" s="30">
        <v>7781</v>
      </c>
      <c r="AC70" s="30">
        <v>212</v>
      </c>
      <c r="AD70" s="31">
        <v>930</v>
      </c>
      <c r="AE70" s="31">
        <v>190</v>
      </c>
      <c r="AF70" s="31">
        <v>778</v>
      </c>
      <c r="AG70" s="31">
        <v>1189</v>
      </c>
      <c r="AH70" s="31">
        <v>235</v>
      </c>
      <c r="AI70" s="31">
        <v>1136</v>
      </c>
      <c r="AJ70" s="31">
        <v>997</v>
      </c>
      <c r="AK70" s="30">
        <v>961</v>
      </c>
      <c r="AL70" s="31">
        <v>925</v>
      </c>
    </row>
    <row r="71" spans="1:38" x14ac:dyDescent="0.3">
      <c r="A71" s="28">
        <v>44105</v>
      </c>
      <c r="B71" s="30">
        <v>858</v>
      </c>
      <c r="C71" s="31">
        <v>1361</v>
      </c>
      <c r="D71" s="31">
        <v>1788</v>
      </c>
      <c r="E71" s="31">
        <v>1726</v>
      </c>
      <c r="F71" s="31">
        <v>310</v>
      </c>
      <c r="G71" s="30">
        <v>149</v>
      </c>
      <c r="H71" s="30">
        <v>1493</v>
      </c>
      <c r="I71" s="30">
        <v>1863</v>
      </c>
      <c r="J71" s="30">
        <v>2417</v>
      </c>
      <c r="K71" s="30">
        <v>160</v>
      </c>
      <c r="L71" s="30">
        <v>2184</v>
      </c>
      <c r="M71" s="30">
        <v>152</v>
      </c>
      <c r="N71" s="31">
        <v>1111</v>
      </c>
      <c r="O71" s="31">
        <v>1516</v>
      </c>
      <c r="P71" s="30">
        <v>1192</v>
      </c>
      <c r="Q71" s="30">
        <v>1531</v>
      </c>
      <c r="R71" s="31">
        <v>1086</v>
      </c>
      <c r="S71" s="31">
        <v>1196</v>
      </c>
      <c r="T71" s="30">
        <v>233</v>
      </c>
      <c r="U71" s="30">
        <v>3261</v>
      </c>
      <c r="V71" s="30">
        <v>3208</v>
      </c>
      <c r="W71" s="30">
        <v>45</v>
      </c>
      <c r="X71" s="30">
        <v>493</v>
      </c>
      <c r="Y71" s="30">
        <v>5494</v>
      </c>
      <c r="Z71" s="30">
        <v>6134</v>
      </c>
      <c r="AA71" s="30">
        <v>4800</v>
      </c>
      <c r="AB71" s="30">
        <v>8492</v>
      </c>
      <c r="AC71" s="30">
        <v>84</v>
      </c>
      <c r="AD71" s="31">
        <v>554</v>
      </c>
      <c r="AE71" s="31">
        <v>91</v>
      </c>
      <c r="AF71" s="31">
        <v>449</v>
      </c>
      <c r="AG71" s="31">
        <v>732</v>
      </c>
      <c r="AH71" s="31">
        <v>158</v>
      </c>
      <c r="AI71" s="31">
        <v>800</v>
      </c>
      <c r="AJ71" s="31">
        <v>718</v>
      </c>
      <c r="AK71" s="30">
        <v>606</v>
      </c>
      <c r="AL71" s="31">
        <v>536</v>
      </c>
    </row>
    <row r="72" spans="1:38" x14ac:dyDescent="0.3">
      <c r="A72" s="28">
        <v>44136</v>
      </c>
      <c r="B72" s="30">
        <v>1654</v>
      </c>
      <c r="C72" s="31">
        <v>2564</v>
      </c>
      <c r="D72" s="31">
        <v>1771</v>
      </c>
      <c r="E72" s="31">
        <v>1634</v>
      </c>
      <c r="F72" s="31">
        <v>328</v>
      </c>
      <c r="G72" s="30">
        <v>189</v>
      </c>
      <c r="H72" s="30">
        <v>1525</v>
      </c>
      <c r="I72" s="30">
        <v>1693</v>
      </c>
      <c r="J72" s="30">
        <v>2191</v>
      </c>
      <c r="K72" s="30">
        <v>311</v>
      </c>
      <c r="L72" s="30">
        <v>4518</v>
      </c>
      <c r="M72" s="30">
        <v>387</v>
      </c>
      <c r="N72" s="31">
        <v>1456</v>
      </c>
      <c r="O72" s="31">
        <v>2524</v>
      </c>
      <c r="P72" s="30">
        <v>1242</v>
      </c>
      <c r="Q72" s="30">
        <v>1418</v>
      </c>
      <c r="R72" s="31">
        <v>1123</v>
      </c>
      <c r="S72" s="31">
        <v>1219</v>
      </c>
      <c r="T72" s="30">
        <v>311</v>
      </c>
      <c r="U72" s="30">
        <v>4495</v>
      </c>
      <c r="V72" s="30">
        <v>4439</v>
      </c>
      <c r="W72" s="30">
        <v>92</v>
      </c>
      <c r="X72" s="30">
        <v>537</v>
      </c>
      <c r="Y72" s="30">
        <v>4964</v>
      </c>
      <c r="Z72" s="30">
        <v>5462</v>
      </c>
      <c r="AA72" s="30">
        <v>4124</v>
      </c>
      <c r="AB72" s="30">
        <v>7832</v>
      </c>
      <c r="AC72" s="30">
        <v>40</v>
      </c>
      <c r="AD72" s="31">
        <v>236</v>
      </c>
      <c r="AE72" s="31">
        <v>60</v>
      </c>
      <c r="AF72" s="31">
        <v>196</v>
      </c>
      <c r="AG72" s="31">
        <v>375</v>
      </c>
      <c r="AH72" s="31">
        <v>179</v>
      </c>
      <c r="AI72" s="31">
        <v>443</v>
      </c>
      <c r="AJ72" s="31">
        <v>397</v>
      </c>
      <c r="AK72" s="30">
        <v>246</v>
      </c>
      <c r="AL72" s="31">
        <v>226</v>
      </c>
    </row>
    <row r="73" spans="1:38" x14ac:dyDescent="0.3">
      <c r="A73" s="28">
        <v>44166</v>
      </c>
      <c r="B73" s="30">
        <v>1407</v>
      </c>
      <c r="C73" s="31">
        <v>1808</v>
      </c>
      <c r="D73" s="31">
        <v>2162</v>
      </c>
      <c r="E73" s="31">
        <v>1864</v>
      </c>
      <c r="F73" s="31">
        <v>380</v>
      </c>
      <c r="G73" s="30">
        <v>208</v>
      </c>
      <c r="H73" s="30">
        <v>1256</v>
      </c>
      <c r="I73" s="30">
        <v>990</v>
      </c>
      <c r="J73" s="30">
        <v>1531</v>
      </c>
      <c r="K73" s="30">
        <v>303</v>
      </c>
      <c r="L73" s="30">
        <v>4814</v>
      </c>
      <c r="M73" s="30">
        <v>376</v>
      </c>
      <c r="N73" s="31">
        <v>1458</v>
      </c>
      <c r="O73" s="31">
        <v>2545</v>
      </c>
      <c r="P73" s="30">
        <v>1687</v>
      </c>
      <c r="Q73" s="30">
        <v>1678</v>
      </c>
      <c r="R73" s="31">
        <v>1300</v>
      </c>
      <c r="S73" s="31">
        <v>1205</v>
      </c>
      <c r="T73" s="30">
        <v>1037</v>
      </c>
      <c r="U73" s="30">
        <v>11017</v>
      </c>
      <c r="V73" s="30">
        <v>11173</v>
      </c>
      <c r="W73" s="30">
        <v>198</v>
      </c>
      <c r="X73" s="30">
        <v>653</v>
      </c>
      <c r="Y73" s="30">
        <v>4392</v>
      </c>
      <c r="Z73" s="30">
        <v>5137</v>
      </c>
      <c r="AA73" s="30">
        <v>3413</v>
      </c>
      <c r="AB73" s="30">
        <v>7574</v>
      </c>
      <c r="AC73" s="30">
        <v>113</v>
      </c>
      <c r="AD73" s="31">
        <v>340</v>
      </c>
      <c r="AE73" s="31">
        <v>159</v>
      </c>
      <c r="AF73" s="31">
        <v>290</v>
      </c>
      <c r="AG73" s="31">
        <v>464</v>
      </c>
      <c r="AH73" s="31">
        <v>747</v>
      </c>
      <c r="AI73" s="31">
        <v>817</v>
      </c>
      <c r="AJ73" s="31">
        <v>632</v>
      </c>
      <c r="AK73" s="30">
        <v>611</v>
      </c>
      <c r="AL73" s="31">
        <v>532</v>
      </c>
    </row>
    <row r="74" spans="1:38" x14ac:dyDescent="0.3">
      <c r="A74" s="28">
        <v>44197</v>
      </c>
      <c r="B74" s="30">
        <v>1676</v>
      </c>
      <c r="C74" s="31">
        <v>1040</v>
      </c>
      <c r="D74" s="31">
        <v>979</v>
      </c>
      <c r="E74" s="31">
        <v>980</v>
      </c>
      <c r="F74" s="31">
        <v>316</v>
      </c>
      <c r="G74" s="30">
        <v>370</v>
      </c>
      <c r="H74" s="30">
        <v>905</v>
      </c>
      <c r="I74" s="30">
        <v>670</v>
      </c>
      <c r="J74" s="30">
        <v>1352</v>
      </c>
      <c r="K74" s="30">
        <v>356</v>
      </c>
      <c r="L74" s="30">
        <v>7075</v>
      </c>
      <c r="M74" s="30">
        <v>477</v>
      </c>
      <c r="N74" s="31">
        <v>1216</v>
      </c>
      <c r="O74" s="31">
        <v>2615</v>
      </c>
      <c r="P74" s="30">
        <v>1557</v>
      </c>
      <c r="Q74" s="30">
        <v>1613</v>
      </c>
      <c r="R74" s="31">
        <v>1019</v>
      </c>
      <c r="S74" s="31">
        <v>985</v>
      </c>
      <c r="T74" s="30">
        <v>1060</v>
      </c>
      <c r="U74" s="30">
        <v>23667</v>
      </c>
      <c r="V74" s="30">
        <v>23851</v>
      </c>
      <c r="W74" s="30">
        <v>453</v>
      </c>
      <c r="X74" s="30">
        <v>748</v>
      </c>
      <c r="Y74" s="30">
        <v>4112</v>
      </c>
      <c r="Z74" s="30">
        <v>5161</v>
      </c>
      <c r="AA74" s="30">
        <v>3160</v>
      </c>
      <c r="AB74" s="30">
        <v>9255</v>
      </c>
      <c r="AC74" s="30">
        <v>461</v>
      </c>
      <c r="AD74" s="31">
        <v>717</v>
      </c>
      <c r="AE74" s="31">
        <v>359</v>
      </c>
      <c r="AF74" s="31">
        <v>529</v>
      </c>
      <c r="AG74" s="31">
        <v>834</v>
      </c>
      <c r="AH74" s="31">
        <v>951</v>
      </c>
      <c r="AI74" s="31">
        <v>1238</v>
      </c>
      <c r="AJ74" s="31">
        <v>760</v>
      </c>
      <c r="AK74" s="30">
        <v>1082</v>
      </c>
      <c r="AL74" s="31">
        <v>834</v>
      </c>
    </row>
    <row r="75" spans="1:38" x14ac:dyDescent="0.3">
      <c r="A75" s="28">
        <v>44228</v>
      </c>
      <c r="B75" s="30">
        <v>1523</v>
      </c>
      <c r="C75" s="31">
        <v>785</v>
      </c>
      <c r="D75" s="31">
        <v>861</v>
      </c>
      <c r="E75" s="31">
        <v>853</v>
      </c>
      <c r="F75" s="31">
        <v>407</v>
      </c>
      <c r="G75" s="30">
        <v>500</v>
      </c>
      <c r="H75" s="30">
        <v>900</v>
      </c>
      <c r="I75" s="30">
        <v>516</v>
      </c>
      <c r="J75" s="30">
        <v>1351</v>
      </c>
      <c r="K75" s="30">
        <v>579</v>
      </c>
      <c r="L75" s="30">
        <v>13373</v>
      </c>
      <c r="M75" s="30">
        <v>1446</v>
      </c>
      <c r="N75" s="31">
        <v>2485</v>
      </c>
      <c r="O75" s="31">
        <v>4834</v>
      </c>
      <c r="P75" s="30">
        <v>1054</v>
      </c>
      <c r="Q75" s="30">
        <v>1272</v>
      </c>
      <c r="R75" s="31">
        <v>648</v>
      </c>
      <c r="S75" s="31">
        <v>599</v>
      </c>
      <c r="T75" s="30">
        <v>983</v>
      </c>
      <c r="U75" s="30">
        <v>32684</v>
      </c>
      <c r="V75" s="30">
        <v>32677</v>
      </c>
      <c r="W75" s="30">
        <v>1008</v>
      </c>
      <c r="X75" s="30">
        <v>775</v>
      </c>
      <c r="Y75" s="30">
        <v>4197</v>
      </c>
      <c r="Z75" s="30">
        <v>5069</v>
      </c>
      <c r="AA75" s="30">
        <v>2834</v>
      </c>
      <c r="AB75" s="30">
        <v>9920</v>
      </c>
      <c r="AC75" s="30">
        <v>217</v>
      </c>
      <c r="AD75" s="31">
        <v>671</v>
      </c>
      <c r="AE75" s="31">
        <v>360</v>
      </c>
      <c r="AF75" s="31">
        <v>501</v>
      </c>
      <c r="AG75" s="31">
        <v>852</v>
      </c>
      <c r="AH75" s="31">
        <v>800</v>
      </c>
      <c r="AI75" s="31">
        <v>1050</v>
      </c>
      <c r="AJ75" s="31">
        <v>619</v>
      </c>
      <c r="AK75" s="30">
        <v>1149</v>
      </c>
      <c r="AL75" s="31">
        <v>914</v>
      </c>
    </row>
    <row r="76" spans="1:38" x14ac:dyDescent="0.3">
      <c r="A76" s="28">
        <v>44256</v>
      </c>
      <c r="B76" s="30">
        <v>2471</v>
      </c>
      <c r="C76" s="31">
        <v>802</v>
      </c>
      <c r="D76" s="31">
        <v>844</v>
      </c>
      <c r="E76" s="31">
        <v>834</v>
      </c>
      <c r="F76" s="31">
        <v>322</v>
      </c>
      <c r="G76" s="30">
        <v>504</v>
      </c>
      <c r="H76" s="30">
        <v>1020</v>
      </c>
      <c r="I76" s="30">
        <v>469</v>
      </c>
      <c r="J76" s="30">
        <v>1608</v>
      </c>
      <c r="K76" s="30">
        <v>605</v>
      </c>
      <c r="L76" s="30">
        <v>24327</v>
      </c>
      <c r="M76" s="30">
        <v>1108</v>
      </c>
      <c r="N76" s="31">
        <v>3602</v>
      </c>
      <c r="O76" s="31">
        <v>6944</v>
      </c>
      <c r="P76" s="30">
        <v>827</v>
      </c>
      <c r="Q76" s="30">
        <v>1020</v>
      </c>
      <c r="R76" s="31">
        <v>513</v>
      </c>
      <c r="S76" s="31">
        <v>485</v>
      </c>
      <c r="T76" s="30">
        <v>770</v>
      </c>
      <c r="U76" s="30">
        <v>35514</v>
      </c>
      <c r="V76" s="30">
        <v>35211</v>
      </c>
      <c r="W76" s="30">
        <v>1085</v>
      </c>
      <c r="X76" s="30">
        <v>1063</v>
      </c>
      <c r="Y76" s="30">
        <v>3781</v>
      </c>
      <c r="Z76" s="30">
        <v>4474</v>
      </c>
      <c r="AA76" s="30">
        <v>3097</v>
      </c>
      <c r="AB76" s="30">
        <v>7703</v>
      </c>
      <c r="AC76" s="30">
        <v>126</v>
      </c>
      <c r="AD76" s="31">
        <v>411</v>
      </c>
      <c r="AE76" s="31">
        <v>137</v>
      </c>
      <c r="AF76" s="31">
        <v>378</v>
      </c>
      <c r="AG76" s="31">
        <v>482</v>
      </c>
      <c r="AH76" s="31">
        <v>507</v>
      </c>
      <c r="AI76" s="31">
        <v>863</v>
      </c>
      <c r="AJ76" s="31">
        <v>754</v>
      </c>
      <c r="AK76" s="30">
        <v>671</v>
      </c>
      <c r="AL76" s="31">
        <v>639</v>
      </c>
    </row>
    <row r="77" spans="1:38" x14ac:dyDescent="0.3">
      <c r="A77" s="28">
        <v>44287</v>
      </c>
      <c r="B77" s="30">
        <v>1141</v>
      </c>
      <c r="C77" s="31">
        <v>1166</v>
      </c>
      <c r="D77" s="31">
        <v>1051</v>
      </c>
      <c r="E77" s="31">
        <v>1047</v>
      </c>
      <c r="F77" s="31">
        <v>201</v>
      </c>
      <c r="G77" s="30">
        <v>348</v>
      </c>
      <c r="H77" s="30">
        <v>728</v>
      </c>
      <c r="I77" s="30">
        <v>1032</v>
      </c>
      <c r="J77" s="30">
        <v>1603</v>
      </c>
      <c r="K77" s="30">
        <v>456</v>
      </c>
      <c r="L77" s="30">
        <v>17606</v>
      </c>
      <c r="M77" s="30">
        <v>525</v>
      </c>
      <c r="N77" s="31">
        <v>1317</v>
      </c>
      <c r="O77" s="31">
        <v>3438</v>
      </c>
      <c r="P77" s="30">
        <v>660</v>
      </c>
      <c r="Q77" s="30">
        <v>828</v>
      </c>
      <c r="R77" s="31">
        <v>476</v>
      </c>
      <c r="S77" s="31">
        <v>432</v>
      </c>
      <c r="T77" s="30">
        <v>374</v>
      </c>
      <c r="U77" s="30">
        <v>35646</v>
      </c>
      <c r="V77" s="30">
        <v>35408</v>
      </c>
      <c r="W77" s="30">
        <v>890</v>
      </c>
      <c r="X77" s="30">
        <v>1264</v>
      </c>
      <c r="Y77" s="30">
        <v>4035</v>
      </c>
      <c r="Z77" s="30">
        <v>4484</v>
      </c>
      <c r="AA77" s="30">
        <v>2821</v>
      </c>
      <c r="AB77" s="30">
        <v>6238</v>
      </c>
      <c r="AC77" s="30">
        <v>47</v>
      </c>
      <c r="AD77" s="31">
        <v>331</v>
      </c>
      <c r="AE77" s="31">
        <v>50</v>
      </c>
      <c r="AF77" s="31">
        <v>222</v>
      </c>
      <c r="AG77" s="31">
        <v>315</v>
      </c>
      <c r="AH77" s="31">
        <v>209</v>
      </c>
      <c r="AI77" s="31">
        <v>420</v>
      </c>
      <c r="AJ77" s="31">
        <v>364</v>
      </c>
      <c r="AK77" s="30">
        <v>336</v>
      </c>
      <c r="AL77" s="31">
        <v>309</v>
      </c>
    </row>
    <row r="78" spans="1:38" x14ac:dyDescent="0.3">
      <c r="A78" s="28">
        <v>44317</v>
      </c>
      <c r="B78" s="30">
        <v>773</v>
      </c>
      <c r="C78" s="31">
        <v>1209</v>
      </c>
      <c r="D78" s="31">
        <v>1014</v>
      </c>
      <c r="E78" s="31">
        <v>1013</v>
      </c>
      <c r="F78" s="31">
        <v>160</v>
      </c>
      <c r="G78" s="30">
        <v>242</v>
      </c>
      <c r="H78" s="30">
        <v>596</v>
      </c>
      <c r="I78" s="30">
        <v>1371</v>
      </c>
      <c r="J78" s="30">
        <v>1856</v>
      </c>
      <c r="K78" s="30">
        <v>320</v>
      </c>
      <c r="L78" s="30">
        <v>10382</v>
      </c>
      <c r="M78" s="30">
        <v>307</v>
      </c>
      <c r="N78" s="31">
        <v>843</v>
      </c>
      <c r="O78" s="31">
        <v>2383</v>
      </c>
      <c r="P78" s="30">
        <v>531</v>
      </c>
      <c r="Q78" s="30">
        <v>709</v>
      </c>
      <c r="R78" s="31">
        <v>407</v>
      </c>
      <c r="S78" s="31">
        <v>422</v>
      </c>
      <c r="T78" s="30">
        <v>284</v>
      </c>
      <c r="U78" s="30">
        <v>26013</v>
      </c>
      <c r="V78" s="30">
        <v>25642</v>
      </c>
      <c r="W78" s="30">
        <v>377</v>
      </c>
      <c r="X78" s="30">
        <v>1734</v>
      </c>
      <c r="Y78" s="30">
        <v>3782</v>
      </c>
      <c r="Z78" s="30">
        <v>4162</v>
      </c>
      <c r="AA78" s="30">
        <v>2941</v>
      </c>
      <c r="AB78" s="30">
        <v>5869</v>
      </c>
      <c r="AC78" s="30">
        <v>98</v>
      </c>
      <c r="AD78" s="31">
        <v>196</v>
      </c>
      <c r="AE78" s="31">
        <v>49</v>
      </c>
      <c r="AF78" s="31">
        <v>135</v>
      </c>
      <c r="AG78" s="31">
        <v>274</v>
      </c>
      <c r="AH78" s="31">
        <v>150</v>
      </c>
      <c r="AI78" s="31">
        <v>307</v>
      </c>
      <c r="AJ78" s="31">
        <v>264</v>
      </c>
      <c r="AK78" s="30">
        <v>173</v>
      </c>
      <c r="AL78" s="31">
        <v>162</v>
      </c>
    </row>
    <row r="79" spans="1:38" x14ac:dyDescent="0.3">
      <c r="A79" s="28">
        <v>44348</v>
      </c>
      <c r="B79" s="30">
        <v>621</v>
      </c>
      <c r="C79" s="31">
        <v>1126</v>
      </c>
      <c r="D79" s="31">
        <v>935</v>
      </c>
      <c r="E79" s="31">
        <v>934</v>
      </c>
      <c r="F79" s="31">
        <v>143</v>
      </c>
      <c r="G79" s="30">
        <v>177</v>
      </c>
      <c r="H79" s="30">
        <v>687</v>
      </c>
      <c r="I79" s="30">
        <v>1026</v>
      </c>
      <c r="J79" s="30">
        <v>1357</v>
      </c>
      <c r="K79" s="30">
        <v>236</v>
      </c>
      <c r="L79" s="30">
        <v>4327</v>
      </c>
      <c r="M79" s="30">
        <v>216</v>
      </c>
      <c r="N79" s="31">
        <v>843</v>
      </c>
      <c r="O79" s="31">
        <v>1621</v>
      </c>
      <c r="P79" s="30">
        <v>1074</v>
      </c>
      <c r="Q79" s="30">
        <v>1038</v>
      </c>
      <c r="R79" s="31">
        <v>956</v>
      </c>
      <c r="S79" s="31">
        <v>1010</v>
      </c>
      <c r="T79" s="30">
        <v>292</v>
      </c>
      <c r="U79" s="30">
        <v>19434</v>
      </c>
      <c r="V79" s="30">
        <v>18590</v>
      </c>
      <c r="W79" s="30">
        <v>172</v>
      </c>
      <c r="X79" s="30">
        <v>1378</v>
      </c>
      <c r="Y79" s="30">
        <v>3031</v>
      </c>
      <c r="Z79" s="30">
        <v>3619</v>
      </c>
      <c r="AA79" s="30">
        <v>2331</v>
      </c>
      <c r="AB79" s="30">
        <v>5704</v>
      </c>
      <c r="AC79" s="30">
        <v>319</v>
      </c>
      <c r="AD79" s="31">
        <v>549</v>
      </c>
      <c r="AE79" s="31">
        <v>217</v>
      </c>
      <c r="AF79" s="31">
        <v>448</v>
      </c>
      <c r="AG79" s="31">
        <v>664</v>
      </c>
      <c r="AH79" s="31">
        <v>257</v>
      </c>
      <c r="AI79" s="31">
        <v>488</v>
      </c>
      <c r="AJ79" s="31">
        <v>417</v>
      </c>
      <c r="AK79" s="30">
        <v>389</v>
      </c>
      <c r="AL79" s="31">
        <v>400</v>
      </c>
    </row>
    <row r="80" spans="1:38" x14ac:dyDescent="0.3">
      <c r="A80" s="28">
        <v>44378</v>
      </c>
      <c r="B80" s="30">
        <v>528</v>
      </c>
      <c r="C80" s="31">
        <v>918</v>
      </c>
      <c r="D80" s="31">
        <v>814</v>
      </c>
      <c r="E80" s="31">
        <v>814</v>
      </c>
      <c r="F80" s="31">
        <v>131</v>
      </c>
      <c r="G80" s="30">
        <v>145</v>
      </c>
      <c r="H80" s="30">
        <v>649</v>
      </c>
      <c r="I80" s="30">
        <v>563</v>
      </c>
      <c r="J80" s="30">
        <v>780</v>
      </c>
      <c r="K80" s="30">
        <v>201</v>
      </c>
      <c r="L80" s="30">
        <v>3027</v>
      </c>
      <c r="M80" s="30">
        <v>128</v>
      </c>
      <c r="N80" s="31">
        <v>838</v>
      </c>
      <c r="O80" s="31">
        <v>1451</v>
      </c>
      <c r="P80" s="30">
        <v>871</v>
      </c>
      <c r="Q80" s="30">
        <v>845</v>
      </c>
      <c r="R80" s="31">
        <v>782</v>
      </c>
      <c r="S80" s="31">
        <v>850</v>
      </c>
      <c r="T80" s="30">
        <v>229</v>
      </c>
      <c r="U80" s="30">
        <v>10948</v>
      </c>
      <c r="V80" s="30">
        <v>10578</v>
      </c>
      <c r="W80" s="30">
        <v>61</v>
      </c>
      <c r="X80" s="30">
        <v>965</v>
      </c>
      <c r="Y80" s="30">
        <v>2406</v>
      </c>
      <c r="Z80" s="30">
        <v>2824</v>
      </c>
      <c r="AA80" s="30">
        <v>1597</v>
      </c>
      <c r="AB80" s="30">
        <v>4688</v>
      </c>
      <c r="AC80" s="30">
        <v>159</v>
      </c>
      <c r="AD80" s="31">
        <v>796</v>
      </c>
      <c r="AE80" s="31">
        <v>184</v>
      </c>
      <c r="AF80" s="31">
        <v>657</v>
      </c>
      <c r="AG80" s="31">
        <v>1058</v>
      </c>
      <c r="AH80" s="31">
        <v>267</v>
      </c>
      <c r="AI80" s="31">
        <v>992</v>
      </c>
      <c r="AJ80" s="31">
        <v>898</v>
      </c>
      <c r="AK80" s="30">
        <v>788</v>
      </c>
      <c r="AL80" s="31">
        <v>735</v>
      </c>
    </row>
    <row r="81" spans="1:38" x14ac:dyDescent="0.3">
      <c r="A81" s="28">
        <v>44409</v>
      </c>
      <c r="B81" s="30">
        <v>492</v>
      </c>
      <c r="C81" s="31">
        <v>905</v>
      </c>
      <c r="D81" s="31">
        <v>840</v>
      </c>
      <c r="E81" s="31">
        <v>837</v>
      </c>
      <c r="F81" s="31">
        <v>158</v>
      </c>
      <c r="G81" s="30">
        <v>157</v>
      </c>
      <c r="H81" s="30">
        <v>685</v>
      </c>
      <c r="I81" s="30">
        <v>771</v>
      </c>
      <c r="J81" s="30">
        <v>930</v>
      </c>
      <c r="K81" s="30">
        <v>177</v>
      </c>
      <c r="L81" s="30">
        <v>2213</v>
      </c>
      <c r="M81" s="30">
        <v>52</v>
      </c>
      <c r="N81" s="31">
        <v>856</v>
      </c>
      <c r="O81" s="31">
        <v>1305</v>
      </c>
      <c r="P81" s="30">
        <v>926</v>
      </c>
      <c r="Q81" s="30">
        <v>1053</v>
      </c>
      <c r="R81" s="31">
        <v>826</v>
      </c>
      <c r="S81" s="31">
        <v>891</v>
      </c>
      <c r="T81" s="30">
        <v>208</v>
      </c>
      <c r="U81" s="30">
        <v>4777</v>
      </c>
      <c r="V81" s="30">
        <v>4599</v>
      </c>
      <c r="W81" s="30">
        <v>24</v>
      </c>
      <c r="X81" s="30">
        <v>812</v>
      </c>
      <c r="Y81" s="30">
        <v>3166</v>
      </c>
      <c r="Z81" s="30">
        <v>3603</v>
      </c>
      <c r="AA81" s="30">
        <v>2067</v>
      </c>
      <c r="AB81" s="30">
        <v>4946</v>
      </c>
      <c r="AC81" s="30">
        <v>98</v>
      </c>
      <c r="AD81" s="31">
        <v>581</v>
      </c>
      <c r="AE81" s="31">
        <v>66</v>
      </c>
      <c r="AF81" s="31">
        <v>534</v>
      </c>
      <c r="AG81" s="31">
        <v>746</v>
      </c>
      <c r="AH81" s="31">
        <v>199</v>
      </c>
      <c r="AI81" s="31">
        <v>1120</v>
      </c>
      <c r="AJ81" s="31">
        <v>1030</v>
      </c>
      <c r="AK81" s="30">
        <v>802</v>
      </c>
      <c r="AL81" s="31">
        <v>725</v>
      </c>
    </row>
    <row r="82" spans="1:38" x14ac:dyDescent="0.3">
      <c r="A82" s="28">
        <v>44440</v>
      </c>
      <c r="B82" s="30">
        <v>502</v>
      </c>
      <c r="C82" s="31">
        <v>1148</v>
      </c>
      <c r="D82" s="31">
        <v>1310</v>
      </c>
      <c r="E82" s="31">
        <v>1286</v>
      </c>
      <c r="F82" s="31">
        <v>195</v>
      </c>
      <c r="G82" s="30">
        <v>172</v>
      </c>
      <c r="H82" s="30">
        <v>588</v>
      </c>
      <c r="I82" s="30">
        <v>619</v>
      </c>
      <c r="J82" s="30">
        <v>746</v>
      </c>
      <c r="K82" s="30">
        <v>174</v>
      </c>
      <c r="L82" s="30">
        <v>2131</v>
      </c>
      <c r="M82" s="30">
        <v>55</v>
      </c>
      <c r="N82" s="31">
        <v>880</v>
      </c>
      <c r="O82" s="31">
        <v>1395</v>
      </c>
      <c r="P82" s="30">
        <v>524</v>
      </c>
      <c r="Q82" s="30">
        <v>691</v>
      </c>
      <c r="R82" s="31">
        <v>469</v>
      </c>
      <c r="S82" s="31">
        <v>514</v>
      </c>
      <c r="T82" s="30">
        <v>165</v>
      </c>
      <c r="U82" s="30">
        <v>3772</v>
      </c>
      <c r="V82" s="30">
        <v>3690</v>
      </c>
      <c r="W82" s="30">
        <v>35</v>
      </c>
      <c r="X82" s="30">
        <v>643</v>
      </c>
      <c r="Y82" s="30">
        <v>4469</v>
      </c>
      <c r="Z82" s="30">
        <v>5010</v>
      </c>
      <c r="AA82" s="30">
        <v>2236</v>
      </c>
      <c r="AB82" s="30">
        <v>6993</v>
      </c>
      <c r="AC82" s="30">
        <v>470</v>
      </c>
      <c r="AD82" s="31">
        <v>896</v>
      </c>
      <c r="AE82" s="31">
        <v>328</v>
      </c>
      <c r="AF82" s="31">
        <v>781</v>
      </c>
      <c r="AG82" s="31">
        <v>1128</v>
      </c>
      <c r="AH82" s="31">
        <v>311</v>
      </c>
      <c r="AI82" s="31">
        <v>894</v>
      </c>
      <c r="AJ82" s="31">
        <v>734</v>
      </c>
      <c r="AK82" s="30">
        <v>503</v>
      </c>
      <c r="AL82" s="31">
        <v>472</v>
      </c>
    </row>
    <row r="83" spans="1:38" x14ac:dyDescent="0.3">
      <c r="A83" s="28">
        <v>44470</v>
      </c>
      <c r="B83" s="30">
        <v>616</v>
      </c>
      <c r="C83" s="31">
        <v>1314</v>
      </c>
      <c r="D83" s="31">
        <v>979</v>
      </c>
      <c r="E83" s="31">
        <v>980</v>
      </c>
      <c r="F83" s="31">
        <v>161</v>
      </c>
      <c r="G83" s="30">
        <v>140</v>
      </c>
      <c r="H83" s="30">
        <v>512</v>
      </c>
      <c r="I83" s="30">
        <v>466</v>
      </c>
      <c r="J83" s="30">
        <v>725</v>
      </c>
      <c r="K83" s="30">
        <v>216</v>
      </c>
      <c r="L83" s="30">
        <v>2094</v>
      </c>
      <c r="M83" s="30">
        <v>182</v>
      </c>
      <c r="N83" s="31">
        <v>726</v>
      </c>
      <c r="O83" s="31">
        <v>1334</v>
      </c>
      <c r="P83" s="30">
        <v>696</v>
      </c>
      <c r="Q83" s="30">
        <v>736</v>
      </c>
      <c r="R83" s="31">
        <v>485</v>
      </c>
      <c r="S83" s="31">
        <v>461</v>
      </c>
      <c r="T83" s="30">
        <v>614</v>
      </c>
      <c r="U83" s="30">
        <v>3757</v>
      </c>
      <c r="V83" s="30">
        <v>3690</v>
      </c>
      <c r="W83" s="30">
        <v>48</v>
      </c>
      <c r="X83" s="30">
        <v>592</v>
      </c>
      <c r="Y83" s="30">
        <v>3405</v>
      </c>
      <c r="Z83" s="30">
        <v>4257</v>
      </c>
      <c r="AA83" s="30">
        <v>1985</v>
      </c>
      <c r="AB83" s="30">
        <v>8744</v>
      </c>
      <c r="AC83" s="30">
        <v>324</v>
      </c>
      <c r="AD83" s="31">
        <v>1099</v>
      </c>
      <c r="AE83" s="31">
        <v>373</v>
      </c>
      <c r="AF83" s="31">
        <v>687</v>
      </c>
      <c r="AG83" s="31">
        <v>1488</v>
      </c>
      <c r="AH83" s="31">
        <v>852</v>
      </c>
      <c r="AI83" s="31">
        <v>1152</v>
      </c>
      <c r="AJ83" s="31">
        <v>571</v>
      </c>
      <c r="AK83" s="30">
        <v>700</v>
      </c>
      <c r="AL83" s="31">
        <v>548</v>
      </c>
    </row>
    <row r="84" spans="1:38" x14ac:dyDescent="0.3">
      <c r="A84" s="28">
        <v>44501</v>
      </c>
      <c r="B84" s="30">
        <v>1264</v>
      </c>
      <c r="C84" s="31">
        <v>747</v>
      </c>
      <c r="D84" s="31">
        <v>992</v>
      </c>
      <c r="E84" s="31">
        <v>989</v>
      </c>
      <c r="F84" s="31">
        <v>269</v>
      </c>
      <c r="G84" s="30">
        <v>237</v>
      </c>
      <c r="H84" s="30">
        <v>686</v>
      </c>
      <c r="I84" s="30">
        <v>495</v>
      </c>
      <c r="J84" s="30">
        <v>1172</v>
      </c>
      <c r="K84" s="30">
        <v>430</v>
      </c>
      <c r="L84" s="30">
        <v>5763</v>
      </c>
      <c r="M84" s="30">
        <v>540</v>
      </c>
      <c r="N84" s="31">
        <v>1854</v>
      </c>
      <c r="O84" s="31">
        <v>3117</v>
      </c>
      <c r="P84" s="30">
        <v>980</v>
      </c>
      <c r="Q84" s="30">
        <v>1105</v>
      </c>
      <c r="R84" s="31">
        <v>748</v>
      </c>
      <c r="S84" s="31">
        <v>750</v>
      </c>
      <c r="T84" s="30">
        <v>708</v>
      </c>
      <c r="U84" s="30">
        <v>7263</v>
      </c>
      <c r="V84" s="30">
        <v>7325</v>
      </c>
      <c r="W84" s="30">
        <v>271</v>
      </c>
      <c r="X84" s="30">
        <v>878</v>
      </c>
      <c r="Y84" s="30">
        <v>3627</v>
      </c>
      <c r="Z84" s="30">
        <v>4179</v>
      </c>
      <c r="AA84" s="30">
        <v>2824</v>
      </c>
      <c r="AB84" s="30">
        <v>7104</v>
      </c>
      <c r="AC84" s="30">
        <v>107</v>
      </c>
      <c r="AD84" s="31">
        <v>551</v>
      </c>
      <c r="AE84" s="31">
        <v>204</v>
      </c>
      <c r="AF84" s="31">
        <v>436</v>
      </c>
      <c r="AG84" s="31">
        <v>661</v>
      </c>
      <c r="AH84" s="31">
        <v>386</v>
      </c>
      <c r="AI84" s="31">
        <v>540</v>
      </c>
      <c r="AJ84" s="31">
        <v>351</v>
      </c>
      <c r="AK84" s="30">
        <v>555</v>
      </c>
      <c r="AL84" s="31">
        <v>473</v>
      </c>
    </row>
    <row r="85" spans="1:38" x14ac:dyDescent="0.3">
      <c r="A85" s="28">
        <v>44531</v>
      </c>
      <c r="B85" s="30">
        <v>2360</v>
      </c>
      <c r="C85" s="31">
        <v>812</v>
      </c>
      <c r="D85" s="31">
        <v>776</v>
      </c>
      <c r="E85" s="31">
        <v>776</v>
      </c>
      <c r="F85" s="31">
        <v>401</v>
      </c>
      <c r="G85" s="30">
        <v>488</v>
      </c>
      <c r="H85" s="30">
        <v>882</v>
      </c>
      <c r="I85" s="30">
        <v>532</v>
      </c>
      <c r="J85" s="30">
        <v>1264</v>
      </c>
      <c r="K85" s="30">
        <v>821</v>
      </c>
      <c r="L85" s="30">
        <v>12955</v>
      </c>
      <c r="M85" s="30">
        <v>1507</v>
      </c>
      <c r="N85" s="31">
        <v>5599</v>
      </c>
      <c r="O85" s="31">
        <v>6693</v>
      </c>
      <c r="P85" s="30">
        <v>775</v>
      </c>
      <c r="Q85" s="30">
        <v>1029</v>
      </c>
      <c r="R85" s="31">
        <v>460</v>
      </c>
      <c r="S85" s="31">
        <v>443</v>
      </c>
      <c r="T85" s="30">
        <v>857</v>
      </c>
      <c r="U85" s="30">
        <v>17813</v>
      </c>
      <c r="V85" s="30">
        <v>17986</v>
      </c>
      <c r="W85" s="30">
        <v>606</v>
      </c>
      <c r="X85" s="30">
        <v>974</v>
      </c>
      <c r="Y85" s="30">
        <v>3575</v>
      </c>
      <c r="Z85" s="30">
        <v>4199</v>
      </c>
      <c r="AA85" s="30">
        <v>3008</v>
      </c>
      <c r="AB85" s="30">
        <v>6298</v>
      </c>
      <c r="AC85" s="30">
        <v>56</v>
      </c>
      <c r="AD85" s="31">
        <v>459</v>
      </c>
      <c r="AE85" s="31">
        <v>95</v>
      </c>
      <c r="AF85" s="31">
        <v>311</v>
      </c>
      <c r="AG85" s="31">
        <v>526</v>
      </c>
      <c r="AH85" s="31">
        <v>138</v>
      </c>
      <c r="AI85" s="31">
        <v>548</v>
      </c>
      <c r="AJ85" s="31">
        <v>485</v>
      </c>
      <c r="AK85" s="30">
        <v>449</v>
      </c>
      <c r="AL85" s="31">
        <v>430</v>
      </c>
    </row>
    <row r="86" spans="1:38" x14ac:dyDescent="0.3">
      <c r="A86" s="28">
        <v>44562</v>
      </c>
      <c r="B86" s="30">
        <v>4508</v>
      </c>
      <c r="C86" s="31">
        <v>2097</v>
      </c>
      <c r="D86" s="31">
        <v>2138</v>
      </c>
      <c r="E86" s="31">
        <v>1287</v>
      </c>
      <c r="F86" s="31">
        <v>1007</v>
      </c>
      <c r="G86" s="30">
        <v>623</v>
      </c>
      <c r="H86" s="30">
        <v>1214</v>
      </c>
      <c r="I86" s="30">
        <v>596</v>
      </c>
      <c r="J86" s="30">
        <v>1981</v>
      </c>
      <c r="K86" s="30">
        <v>1309</v>
      </c>
      <c r="L86" s="30">
        <v>30985</v>
      </c>
      <c r="M86" s="30">
        <v>2297</v>
      </c>
      <c r="N86" s="31">
        <v>10152</v>
      </c>
      <c r="O86" s="31">
        <v>13405</v>
      </c>
      <c r="P86" s="30">
        <v>1215</v>
      </c>
      <c r="Q86" s="30">
        <v>1061</v>
      </c>
      <c r="R86" s="31">
        <v>702</v>
      </c>
      <c r="S86" s="31">
        <v>570</v>
      </c>
      <c r="T86" s="30">
        <v>2002</v>
      </c>
      <c r="U86" s="30">
        <v>19692</v>
      </c>
      <c r="V86" s="30">
        <v>19375</v>
      </c>
      <c r="W86" s="30">
        <v>535</v>
      </c>
      <c r="X86" s="30">
        <v>663</v>
      </c>
      <c r="Y86" s="30">
        <v>3433</v>
      </c>
      <c r="Z86" s="30">
        <v>4015</v>
      </c>
      <c r="AA86" s="30">
        <v>3264</v>
      </c>
      <c r="AB86" s="30">
        <v>5665</v>
      </c>
      <c r="AC86" s="30">
        <v>73</v>
      </c>
      <c r="AD86" s="31">
        <v>349</v>
      </c>
      <c r="AE86" s="31">
        <v>85</v>
      </c>
      <c r="AF86" s="31">
        <v>269</v>
      </c>
      <c r="AG86" s="31">
        <v>461</v>
      </c>
      <c r="AH86" s="31">
        <v>289</v>
      </c>
      <c r="AI86" s="31">
        <v>618</v>
      </c>
      <c r="AJ86" s="31">
        <v>554</v>
      </c>
      <c r="AK86" s="30">
        <v>493</v>
      </c>
      <c r="AL86" s="31">
        <v>505</v>
      </c>
    </row>
    <row r="87" spans="1:38" x14ac:dyDescent="0.3">
      <c r="A87" s="28">
        <v>44593</v>
      </c>
      <c r="B87" s="30">
        <v>5485</v>
      </c>
      <c r="C87" s="31">
        <v>4145</v>
      </c>
      <c r="D87" s="31">
        <v>3965</v>
      </c>
      <c r="E87" s="31">
        <v>1647</v>
      </c>
      <c r="F87" s="31">
        <v>993</v>
      </c>
      <c r="G87" s="30">
        <v>746</v>
      </c>
      <c r="H87" s="30">
        <v>1509</v>
      </c>
      <c r="I87" s="30">
        <v>656</v>
      </c>
      <c r="J87" s="30">
        <v>2198</v>
      </c>
      <c r="K87" s="30">
        <v>666</v>
      </c>
      <c r="L87" s="30">
        <v>26239</v>
      </c>
      <c r="M87" s="30">
        <v>1924</v>
      </c>
      <c r="N87" s="31">
        <v>5754</v>
      </c>
      <c r="O87" s="31">
        <v>7977</v>
      </c>
      <c r="P87" s="30">
        <v>2090</v>
      </c>
      <c r="Q87" s="30">
        <v>1652</v>
      </c>
      <c r="R87" s="31">
        <v>1064</v>
      </c>
      <c r="S87" s="31">
        <v>902</v>
      </c>
      <c r="T87" s="30">
        <v>2076</v>
      </c>
      <c r="U87" s="30">
        <v>24979</v>
      </c>
      <c r="V87" s="30">
        <v>25005</v>
      </c>
      <c r="W87" s="30">
        <v>1186</v>
      </c>
      <c r="X87" s="30">
        <v>1069</v>
      </c>
      <c r="Y87" s="30">
        <v>3315</v>
      </c>
      <c r="Z87" s="30">
        <v>4283</v>
      </c>
      <c r="AA87" s="30">
        <v>3114</v>
      </c>
      <c r="AB87" s="30">
        <v>6037</v>
      </c>
      <c r="AC87" s="30">
        <v>41</v>
      </c>
      <c r="AD87" s="31">
        <v>341</v>
      </c>
      <c r="AE87" s="31">
        <v>83</v>
      </c>
      <c r="AF87" s="31">
        <v>280</v>
      </c>
      <c r="AG87" s="31">
        <v>409</v>
      </c>
      <c r="AH87" s="31">
        <v>283</v>
      </c>
      <c r="AI87" s="31">
        <v>579</v>
      </c>
      <c r="AJ87" s="31">
        <v>522</v>
      </c>
      <c r="AK87" s="30">
        <v>517</v>
      </c>
      <c r="AL87" s="31">
        <v>493</v>
      </c>
    </row>
    <row r="88" spans="1:38" x14ac:dyDescent="0.3">
      <c r="A88" s="28">
        <v>44621</v>
      </c>
      <c r="B88" s="30">
        <v>5785</v>
      </c>
      <c r="C88" s="31">
        <v>3417</v>
      </c>
      <c r="D88" s="31">
        <v>3098</v>
      </c>
      <c r="E88" s="31">
        <v>1493</v>
      </c>
      <c r="F88" s="31">
        <v>581</v>
      </c>
      <c r="G88" s="30">
        <v>581</v>
      </c>
      <c r="H88" s="30">
        <v>1048</v>
      </c>
      <c r="I88" s="30">
        <v>691</v>
      </c>
      <c r="J88" s="30">
        <v>1859</v>
      </c>
      <c r="K88" s="30">
        <v>746</v>
      </c>
      <c r="L88" s="30">
        <v>27899</v>
      </c>
      <c r="M88" s="30">
        <v>1161</v>
      </c>
      <c r="N88" s="31">
        <v>4241</v>
      </c>
      <c r="O88" s="31">
        <v>7077</v>
      </c>
      <c r="P88" s="30">
        <v>1462</v>
      </c>
      <c r="Q88" s="30">
        <v>1750</v>
      </c>
      <c r="R88" s="31">
        <v>1018</v>
      </c>
      <c r="S88" s="31">
        <v>939</v>
      </c>
      <c r="T88" s="30">
        <v>786</v>
      </c>
      <c r="U88" s="30">
        <v>27074</v>
      </c>
      <c r="V88" s="30">
        <v>27087</v>
      </c>
      <c r="W88" s="30">
        <v>1386</v>
      </c>
      <c r="X88" s="30">
        <v>1804</v>
      </c>
      <c r="Y88" s="30">
        <v>4293</v>
      </c>
      <c r="Z88" s="30">
        <v>5024</v>
      </c>
      <c r="AA88" s="30">
        <v>4486</v>
      </c>
      <c r="AB88" s="30">
        <v>7005</v>
      </c>
      <c r="AC88" s="30">
        <v>209</v>
      </c>
      <c r="AD88" s="31">
        <v>386</v>
      </c>
      <c r="AE88" s="31">
        <v>240</v>
      </c>
      <c r="AF88" s="31">
        <v>354</v>
      </c>
      <c r="AG88" s="31">
        <v>509</v>
      </c>
      <c r="AH88" s="31">
        <v>646</v>
      </c>
      <c r="AI88" s="31">
        <v>532</v>
      </c>
      <c r="AJ88" s="31">
        <v>289</v>
      </c>
      <c r="AK88" s="30">
        <v>378</v>
      </c>
      <c r="AL88" s="31">
        <v>320</v>
      </c>
    </row>
    <row r="89" spans="1:38" x14ac:dyDescent="0.3">
      <c r="A89" s="28">
        <v>44652</v>
      </c>
      <c r="B89" s="30">
        <v>2074</v>
      </c>
      <c r="C89" s="31">
        <v>1981</v>
      </c>
      <c r="D89" s="31">
        <v>1623</v>
      </c>
      <c r="E89" s="31">
        <v>1450</v>
      </c>
      <c r="F89" s="31">
        <v>303</v>
      </c>
      <c r="G89" s="30">
        <v>275</v>
      </c>
      <c r="H89" s="30">
        <v>636</v>
      </c>
      <c r="I89" s="30">
        <v>493</v>
      </c>
      <c r="J89" s="30">
        <v>1213</v>
      </c>
      <c r="K89" s="30">
        <v>598</v>
      </c>
      <c r="L89" s="30">
        <v>23291</v>
      </c>
      <c r="M89" s="30">
        <v>565</v>
      </c>
      <c r="N89" s="31">
        <v>2037</v>
      </c>
      <c r="O89" s="31">
        <v>4652</v>
      </c>
      <c r="P89" s="30">
        <v>927</v>
      </c>
      <c r="Q89" s="30">
        <v>952</v>
      </c>
      <c r="R89" s="31">
        <v>592</v>
      </c>
      <c r="S89" s="31">
        <v>508</v>
      </c>
      <c r="T89" s="30">
        <v>640</v>
      </c>
      <c r="U89" s="30">
        <v>27010</v>
      </c>
      <c r="V89" s="30">
        <v>26572</v>
      </c>
      <c r="W89" s="30">
        <v>790</v>
      </c>
      <c r="X89" s="30">
        <v>1979</v>
      </c>
      <c r="Y89" s="30">
        <v>3337</v>
      </c>
      <c r="Z89" s="30">
        <v>4051</v>
      </c>
      <c r="AA89" s="30">
        <v>2582</v>
      </c>
      <c r="AB89" s="30">
        <v>7188</v>
      </c>
      <c r="AC89" s="30">
        <v>231</v>
      </c>
      <c r="AD89" s="31">
        <v>768</v>
      </c>
      <c r="AE89" s="31">
        <v>222</v>
      </c>
      <c r="AF89" s="31">
        <v>409</v>
      </c>
      <c r="AG89" s="31">
        <v>1039</v>
      </c>
      <c r="AH89" s="31">
        <v>741</v>
      </c>
      <c r="AI89" s="31">
        <v>988</v>
      </c>
      <c r="AJ89" s="31">
        <v>373</v>
      </c>
      <c r="AK89" s="30">
        <v>922</v>
      </c>
      <c r="AL89" s="31">
        <v>753</v>
      </c>
    </row>
    <row r="90" spans="1:38" x14ac:dyDescent="0.3">
      <c r="A90" s="28">
        <v>44682</v>
      </c>
      <c r="B90" s="30">
        <v>1484</v>
      </c>
      <c r="C90" s="31">
        <v>1242</v>
      </c>
      <c r="D90" s="31">
        <v>1155</v>
      </c>
      <c r="E90" s="31">
        <v>1111</v>
      </c>
      <c r="F90" s="31">
        <v>224</v>
      </c>
      <c r="G90" s="30">
        <v>161</v>
      </c>
      <c r="H90" s="30">
        <v>469</v>
      </c>
      <c r="I90" s="30">
        <v>535</v>
      </c>
      <c r="J90" s="30">
        <v>1006</v>
      </c>
      <c r="K90" s="30">
        <v>357</v>
      </c>
      <c r="L90" s="30">
        <v>10342</v>
      </c>
      <c r="M90" s="30">
        <v>323</v>
      </c>
      <c r="N90" s="31">
        <v>991</v>
      </c>
      <c r="O90" s="31">
        <v>2249</v>
      </c>
      <c r="P90" s="30">
        <v>798</v>
      </c>
      <c r="Q90" s="30">
        <v>1138</v>
      </c>
      <c r="R90" s="31">
        <v>518</v>
      </c>
      <c r="S90" s="31">
        <v>493</v>
      </c>
      <c r="T90" s="30">
        <v>398</v>
      </c>
      <c r="U90" s="30">
        <v>17398</v>
      </c>
      <c r="V90" s="30">
        <v>16832</v>
      </c>
      <c r="W90" s="30">
        <v>321</v>
      </c>
      <c r="X90" s="30">
        <v>2066</v>
      </c>
      <c r="Y90" s="30">
        <v>3313</v>
      </c>
      <c r="Z90" s="30">
        <v>3801</v>
      </c>
      <c r="AA90" s="30">
        <v>2941</v>
      </c>
      <c r="AB90" s="30">
        <v>6188</v>
      </c>
      <c r="AC90" s="30">
        <v>979</v>
      </c>
      <c r="AD90" s="31">
        <v>2262</v>
      </c>
      <c r="AE90" s="31">
        <v>676</v>
      </c>
      <c r="AF90" s="31">
        <v>1641</v>
      </c>
      <c r="AG90" s="31">
        <v>2998</v>
      </c>
      <c r="AH90" s="31">
        <v>753</v>
      </c>
      <c r="AI90" s="31">
        <v>1417</v>
      </c>
      <c r="AJ90" s="31">
        <v>936</v>
      </c>
      <c r="AK90" s="30">
        <v>1043</v>
      </c>
      <c r="AL90" s="31">
        <v>872</v>
      </c>
    </row>
    <row r="91" spans="1:38" x14ac:dyDescent="0.3">
      <c r="A91" s="28">
        <v>44713</v>
      </c>
      <c r="B91" s="30">
        <v>991</v>
      </c>
      <c r="C91" s="31">
        <v>1057</v>
      </c>
      <c r="D91" s="31">
        <v>1104</v>
      </c>
      <c r="E91" s="31">
        <v>1098</v>
      </c>
      <c r="F91" s="31">
        <v>189</v>
      </c>
      <c r="G91" s="30">
        <v>153</v>
      </c>
      <c r="H91" s="30">
        <v>451</v>
      </c>
      <c r="I91" s="30">
        <v>745</v>
      </c>
      <c r="J91" s="30">
        <v>1197</v>
      </c>
      <c r="K91" s="30">
        <v>309</v>
      </c>
      <c r="L91" s="30">
        <v>4973</v>
      </c>
      <c r="M91" s="30">
        <v>222</v>
      </c>
      <c r="N91" s="31">
        <v>822</v>
      </c>
      <c r="O91" s="31">
        <v>1673</v>
      </c>
      <c r="P91" s="30">
        <v>1008</v>
      </c>
      <c r="Q91" s="32">
        <v>1267</v>
      </c>
      <c r="R91" s="31">
        <v>812</v>
      </c>
      <c r="S91" s="31">
        <v>815</v>
      </c>
      <c r="T91" s="30">
        <v>337</v>
      </c>
      <c r="U91" s="30">
        <v>12549</v>
      </c>
      <c r="V91" s="30">
        <v>12234</v>
      </c>
      <c r="W91" s="30">
        <v>168</v>
      </c>
      <c r="X91" s="30">
        <v>1423</v>
      </c>
      <c r="Y91" s="30">
        <v>3091</v>
      </c>
      <c r="Z91" s="30">
        <v>3686</v>
      </c>
      <c r="AA91" s="30">
        <v>2604</v>
      </c>
      <c r="AB91" s="30">
        <v>6631</v>
      </c>
      <c r="AC91" s="30">
        <v>1161</v>
      </c>
      <c r="AD91" s="31">
        <v>3235</v>
      </c>
      <c r="AE91" s="31">
        <v>1033</v>
      </c>
      <c r="AF91" s="31">
        <v>2542</v>
      </c>
      <c r="AG91" s="31">
        <v>4291</v>
      </c>
      <c r="AH91" s="31">
        <v>1276</v>
      </c>
      <c r="AI91" s="31">
        <v>2986</v>
      </c>
      <c r="AJ91" s="31">
        <v>2363</v>
      </c>
      <c r="AK91" s="30">
        <v>2174</v>
      </c>
      <c r="AL91" s="31">
        <v>1626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A0A2-661E-4550-9013-6741FAEDE71E}">
  <dimension ref="A1:G123"/>
  <sheetViews>
    <sheetView topLeftCell="A95" workbookViewId="0">
      <selection activeCell="C3" sqref="C3"/>
    </sheetView>
  </sheetViews>
  <sheetFormatPr defaultRowHeight="14.4" x14ac:dyDescent="0.3"/>
  <cols>
    <col min="1" max="1" width="8.88671875" style="6"/>
    <col min="2" max="2" width="13.5546875" style="6" customWidth="1"/>
    <col min="3" max="3" width="16.33203125" style="6" customWidth="1"/>
    <col min="6" max="6" width="3.6640625" customWidth="1"/>
    <col min="258" max="258" width="13.5546875" customWidth="1"/>
    <col min="259" max="259" width="16.33203125" customWidth="1"/>
    <col min="262" max="262" width="3.6640625" customWidth="1"/>
    <col min="514" max="514" width="13.5546875" customWidth="1"/>
    <col min="515" max="515" width="16.33203125" customWidth="1"/>
    <col min="518" max="518" width="3.6640625" customWidth="1"/>
    <col min="770" max="770" width="13.5546875" customWidth="1"/>
    <col min="771" max="771" width="16.33203125" customWidth="1"/>
    <col min="774" max="774" width="3.6640625" customWidth="1"/>
    <col min="1026" max="1026" width="13.5546875" customWidth="1"/>
    <col min="1027" max="1027" width="16.33203125" customWidth="1"/>
    <col min="1030" max="1030" width="3.6640625" customWidth="1"/>
    <col min="1282" max="1282" width="13.5546875" customWidth="1"/>
    <col min="1283" max="1283" width="16.33203125" customWidth="1"/>
    <col min="1286" max="1286" width="3.6640625" customWidth="1"/>
    <col min="1538" max="1538" width="13.5546875" customWidth="1"/>
    <col min="1539" max="1539" width="16.33203125" customWidth="1"/>
    <col min="1542" max="1542" width="3.6640625" customWidth="1"/>
    <col min="1794" max="1794" width="13.5546875" customWidth="1"/>
    <col min="1795" max="1795" width="16.33203125" customWidth="1"/>
    <col min="1798" max="1798" width="3.6640625" customWidth="1"/>
    <col min="2050" max="2050" width="13.5546875" customWidth="1"/>
    <col min="2051" max="2051" width="16.33203125" customWidth="1"/>
    <col min="2054" max="2054" width="3.6640625" customWidth="1"/>
    <col min="2306" max="2306" width="13.5546875" customWidth="1"/>
    <col min="2307" max="2307" width="16.33203125" customWidth="1"/>
    <col min="2310" max="2310" width="3.6640625" customWidth="1"/>
    <col min="2562" max="2562" width="13.5546875" customWidth="1"/>
    <col min="2563" max="2563" width="16.33203125" customWidth="1"/>
    <col min="2566" max="2566" width="3.6640625" customWidth="1"/>
    <col min="2818" max="2818" width="13.5546875" customWidth="1"/>
    <col min="2819" max="2819" width="16.33203125" customWidth="1"/>
    <col min="2822" max="2822" width="3.6640625" customWidth="1"/>
    <col min="3074" max="3074" width="13.5546875" customWidth="1"/>
    <col min="3075" max="3075" width="16.33203125" customWidth="1"/>
    <col min="3078" max="3078" width="3.6640625" customWidth="1"/>
    <col min="3330" max="3330" width="13.5546875" customWidth="1"/>
    <col min="3331" max="3331" width="16.33203125" customWidth="1"/>
    <col min="3334" max="3334" width="3.6640625" customWidth="1"/>
    <col min="3586" max="3586" width="13.5546875" customWidth="1"/>
    <col min="3587" max="3587" width="16.33203125" customWidth="1"/>
    <col min="3590" max="3590" width="3.6640625" customWidth="1"/>
    <col min="3842" max="3842" width="13.5546875" customWidth="1"/>
    <col min="3843" max="3843" width="16.33203125" customWidth="1"/>
    <col min="3846" max="3846" width="3.6640625" customWidth="1"/>
    <col min="4098" max="4098" width="13.5546875" customWidth="1"/>
    <col min="4099" max="4099" width="16.33203125" customWidth="1"/>
    <col min="4102" max="4102" width="3.6640625" customWidth="1"/>
    <col min="4354" max="4354" width="13.5546875" customWidth="1"/>
    <col min="4355" max="4355" width="16.33203125" customWidth="1"/>
    <col min="4358" max="4358" width="3.6640625" customWidth="1"/>
    <col min="4610" max="4610" width="13.5546875" customWidth="1"/>
    <col min="4611" max="4611" width="16.33203125" customWidth="1"/>
    <col min="4614" max="4614" width="3.6640625" customWidth="1"/>
    <col min="4866" max="4866" width="13.5546875" customWidth="1"/>
    <col min="4867" max="4867" width="16.33203125" customWidth="1"/>
    <col min="4870" max="4870" width="3.6640625" customWidth="1"/>
    <col min="5122" max="5122" width="13.5546875" customWidth="1"/>
    <col min="5123" max="5123" width="16.33203125" customWidth="1"/>
    <col min="5126" max="5126" width="3.6640625" customWidth="1"/>
    <col min="5378" max="5378" width="13.5546875" customWidth="1"/>
    <col min="5379" max="5379" width="16.33203125" customWidth="1"/>
    <col min="5382" max="5382" width="3.6640625" customWidth="1"/>
    <col min="5634" max="5634" width="13.5546875" customWidth="1"/>
    <col min="5635" max="5635" width="16.33203125" customWidth="1"/>
    <col min="5638" max="5638" width="3.6640625" customWidth="1"/>
    <col min="5890" max="5890" width="13.5546875" customWidth="1"/>
    <col min="5891" max="5891" width="16.33203125" customWidth="1"/>
    <col min="5894" max="5894" width="3.6640625" customWidth="1"/>
    <col min="6146" max="6146" width="13.5546875" customWidth="1"/>
    <col min="6147" max="6147" width="16.33203125" customWidth="1"/>
    <col min="6150" max="6150" width="3.6640625" customWidth="1"/>
    <col min="6402" max="6402" width="13.5546875" customWidth="1"/>
    <col min="6403" max="6403" width="16.33203125" customWidth="1"/>
    <col min="6406" max="6406" width="3.6640625" customWidth="1"/>
    <col min="6658" max="6658" width="13.5546875" customWidth="1"/>
    <col min="6659" max="6659" width="16.33203125" customWidth="1"/>
    <col min="6662" max="6662" width="3.6640625" customWidth="1"/>
    <col min="6914" max="6914" width="13.5546875" customWidth="1"/>
    <col min="6915" max="6915" width="16.33203125" customWidth="1"/>
    <col min="6918" max="6918" width="3.6640625" customWidth="1"/>
    <col min="7170" max="7170" width="13.5546875" customWidth="1"/>
    <col min="7171" max="7171" width="16.33203125" customWidth="1"/>
    <col min="7174" max="7174" width="3.6640625" customWidth="1"/>
    <col min="7426" max="7426" width="13.5546875" customWidth="1"/>
    <col min="7427" max="7427" width="16.33203125" customWidth="1"/>
    <col min="7430" max="7430" width="3.6640625" customWidth="1"/>
    <col min="7682" max="7682" width="13.5546875" customWidth="1"/>
    <col min="7683" max="7683" width="16.33203125" customWidth="1"/>
    <col min="7686" max="7686" width="3.6640625" customWidth="1"/>
    <col min="7938" max="7938" width="13.5546875" customWidth="1"/>
    <col min="7939" max="7939" width="16.33203125" customWidth="1"/>
    <col min="7942" max="7942" width="3.6640625" customWidth="1"/>
    <col min="8194" max="8194" width="13.5546875" customWidth="1"/>
    <col min="8195" max="8195" width="16.33203125" customWidth="1"/>
    <col min="8198" max="8198" width="3.6640625" customWidth="1"/>
    <col min="8450" max="8450" width="13.5546875" customWidth="1"/>
    <col min="8451" max="8451" width="16.33203125" customWidth="1"/>
    <col min="8454" max="8454" width="3.6640625" customWidth="1"/>
    <col min="8706" max="8706" width="13.5546875" customWidth="1"/>
    <col min="8707" max="8707" width="16.33203125" customWidth="1"/>
    <col min="8710" max="8710" width="3.6640625" customWidth="1"/>
    <col min="8962" max="8962" width="13.5546875" customWidth="1"/>
    <col min="8963" max="8963" width="16.33203125" customWidth="1"/>
    <col min="8966" max="8966" width="3.6640625" customWidth="1"/>
    <col min="9218" max="9218" width="13.5546875" customWidth="1"/>
    <col min="9219" max="9219" width="16.33203125" customWidth="1"/>
    <col min="9222" max="9222" width="3.6640625" customWidth="1"/>
    <col min="9474" max="9474" width="13.5546875" customWidth="1"/>
    <col min="9475" max="9475" width="16.33203125" customWidth="1"/>
    <col min="9478" max="9478" width="3.6640625" customWidth="1"/>
    <col min="9730" max="9730" width="13.5546875" customWidth="1"/>
    <col min="9731" max="9731" width="16.33203125" customWidth="1"/>
    <col min="9734" max="9734" width="3.6640625" customWidth="1"/>
    <col min="9986" max="9986" width="13.5546875" customWidth="1"/>
    <col min="9987" max="9987" width="16.33203125" customWidth="1"/>
    <col min="9990" max="9990" width="3.6640625" customWidth="1"/>
    <col min="10242" max="10242" width="13.5546875" customWidth="1"/>
    <col min="10243" max="10243" width="16.33203125" customWidth="1"/>
    <col min="10246" max="10246" width="3.6640625" customWidth="1"/>
    <col min="10498" max="10498" width="13.5546875" customWidth="1"/>
    <col min="10499" max="10499" width="16.33203125" customWidth="1"/>
    <col min="10502" max="10502" width="3.6640625" customWidth="1"/>
    <col min="10754" max="10754" width="13.5546875" customWidth="1"/>
    <col min="10755" max="10755" width="16.33203125" customWidth="1"/>
    <col min="10758" max="10758" width="3.6640625" customWidth="1"/>
    <col min="11010" max="11010" width="13.5546875" customWidth="1"/>
    <col min="11011" max="11011" width="16.33203125" customWidth="1"/>
    <col min="11014" max="11014" width="3.6640625" customWidth="1"/>
    <col min="11266" max="11266" width="13.5546875" customWidth="1"/>
    <col min="11267" max="11267" width="16.33203125" customWidth="1"/>
    <col min="11270" max="11270" width="3.6640625" customWidth="1"/>
    <col min="11522" max="11522" width="13.5546875" customWidth="1"/>
    <col min="11523" max="11523" width="16.33203125" customWidth="1"/>
    <col min="11526" max="11526" width="3.6640625" customWidth="1"/>
    <col min="11778" max="11778" width="13.5546875" customWidth="1"/>
    <col min="11779" max="11779" width="16.33203125" customWidth="1"/>
    <col min="11782" max="11782" width="3.6640625" customWidth="1"/>
    <col min="12034" max="12034" width="13.5546875" customWidth="1"/>
    <col min="12035" max="12035" width="16.33203125" customWidth="1"/>
    <col min="12038" max="12038" width="3.6640625" customWidth="1"/>
    <col min="12290" max="12290" width="13.5546875" customWidth="1"/>
    <col min="12291" max="12291" width="16.33203125" customWidth="1"/>
    <col min="12294" max="12294" width="3.6640625" customWidth="1"/>
    <col min="12546" max="12546" width="13.5546875" customWidth="1"/>
    <col min="12547" max="12547" width="16.33203125" customWidth="1"/>
    <col min="12550" max="12550" width="3.6640625" customWidth="1"/>
    <col min="12802" max="12802" width="13.5546875" customWidth="1"/>
    <col min="12803" max="12803" width="16.33203125" customWidth="1"/>
    <col min="12806" max="12806" width="3.6640625" customWidth="1"/>
    <col min="13058" max="13058" width="13.5546875" customWidth="1"/>
    <col min="13059" max="13059" width="16.33203125" customWidth="1"/>
    <col min="13062" max="13062" width="3.6640625" customWidth="1"/>
    <col min="13314" max="13314" width="13.5546875" customWidth="1"/>
    <col min="13315" max="13315" width="16.33203125" customWidth="1"/>
    <col min="13318" max="13318" width="3.6640625" customWidth="1"/>
    <col min="13570" max="13570" width="13.5546875" customWidth="1"/>
    <col min="13571" max="13571" width="16.33203125" customWidth="1"/>
    <col min="13574" max="13574" width="3.6640625" customWidth="1"/>
    <col min="13826" max="13826" width="13.5546875" customWidth="1"/>
    <col min="13827" max="13827" width="16.33203125" customWidth="1"/>
    <col min="13830" max="13830" width="3.6640625" customWidth="1"/>
    <col min="14082" max="14082" width="13.5546875" customWidth="1"/>
    <col min="14083" max="14083" width="16.33203125" customWidth="1"/>
    <col min="14086" max="14086" width="3.6640625" customWidth="1"/>
    <col min="14338" max="14338" width="13.5546875" customWidth="1"/>
    <col min="14339" max="14339" width="16.33203125" customWidth="1"/>
    <col min="14342" max="14342" width="3.6640625" customWidth="1"/>
    <col min="14594" max="14594" width="13.5546875" customWidth="1"/>
    <col min="14595" max="14595" width="16.33203125" customWidth="1"/>
    <col min="14598" max="14598" width="3.6640625" customWidth="1"/>
    <col min="14850" max="14850" width="13.5546875" customWidth="1"/>
    <col min="14851" max="14851" width="16.33203125" customWidth="1"/>
    <col min="14854" max="14854" width="3.6640625" customWidth="1"/>
    <col min="15106" max="15106" width="13.5546875" customWidth="1"/>
    <col min="15107" max="15107" width="16.33203125" customWidth="1"/>
    <col min="15110" max="15110" width="3.6640625" customWidth="1"/>
    <col min="15362" max="15362" width="13.5546875" customWidth="1"/>
    <col min="15363" max="15363" width="16.33203125" customWidth="1"/>
    <col min="15366" max="15366" width="3.6640625" customWidth="1"/>
    <col min="15618" max="15618" width="13.5546875" customWidth="1"/>
    <col min="15619" max="15619" width="16.33203125" customWidth="1"/>
    <col min="15622" max="15622" width="3.6640625" customWidth="1"/>
    <col min="15874" max="15874" width="13.5546875" customWidth="1"/>
    <col min="15875" max="15875" width="16.33203125" customWidth="1"/>
    <col min="15878" max="15878" width="3.6640625" customWidth="1"/>
    <col min="16130" max="16130" width="13.5546875" customWidth="1"/>
    <col min="16131" max="16131" width="16.33203125" customWidth="1"/>
    <col min="16134" max="16134" width="3.6640625" customWidth="1"/>
  </cols>
  <sheetData>
    <row r="1" spans="1:7" x14ac:dyDescent="0.3">
      <c r="A1" t="s">
        <v>147</v>
      </c>
    </row>
    <row r="3" spans="1:7" x14ac:dyDescent="0.3">
      <c r="A3" s="58"/>
      <c r="B3" s="58" t="s">
        <v>148</v>
      </c>
      <c r="C3" s="58" t="s">
        <v>149</v>
      </c>
      <c r="F3" s="59" t="s">
        <v>150</v>
      </c>
    </row>
    <row r="4" spans="1:7" ht="15.6" x14ac:dyDescent="0.3">
      <c r="A4" s="58">
        <v>1</v>
      </c>
      <c r="B4" s="58">
        <v>501</v>
      </c>
      <c r="C4" s="58">
        <v>506</v>
      </c>
      <c r="F4" s="60" t="s">
        <v>151</v>
      </c>
      <c r="G4" s="59" t="s">
        <v>152</v>
      </c>
    </row>
    <row r="5" spans="1:7" ht="15.6" x14ac:dyDescent="0.3">
      <c r="A5" s="58">
        <v>2</v>
      </c>
      <c r="B5" s="58">
        <v>507</v>
      </c>
      <c r="C5" s="58">
        <v>506</v>
      </c>
      <c r="F5" s="60" t="s">
        <v>153</v>
      </c>
      <c r="G5" t="s">
        <v>154</v>
      </c>
    </row>
    <row r="6" spans="1:7" ht="15.6" x14ac:dyDescent="0.3">
      <c r="A6" s="58">
        <v>3</v>
      </c>
      <c r="B6" s="58">
        <v>596</v>
      </c>
      <c r="C6" s="58">
        <v>573</v>
      </c>
      <c r="F6" s="60" t="s">
        <v>155</v>
      </c>
      <c r="G6" s="59" t="s">
        <v>156</v>
      </c>
    </row>
    <row r="7" spans="1:7" ht="15.6" x14ac:dyDescent="0.3">
      <c r="A7" s="58">
        <v>4</v>
      </c>
      <c r="B7" s="58">
        <v>615</v>
      </c>
      <c r="C7" s="58">
        <v>614</v>
      </c>
      <c r="F7" s="60" t="s">
        <v>157</v>
      </c>
      <c r="G7" t="s">
        <v>158</v>
      </c>
    </row>
    <row r="8" spans="1:7" ht="15.6" x14ac:dyDescent="0.3">
      <c r="A8" s="58">
        <v>5</v>
      </c>
      <c r="B8" s="58">
        <v>662</v>
      </c>
      <c r="C8" s="58">
        <v>644</v>
      </c>
      <c r="F8" s="60" t="s">
        <v>159</v>
      </c>
      <c r="G8" t="s">
        <v>160</v>
      </c>
    </row>
    <row r="9" spans="1:7" ht="15.6" x14ac:dyDescent="0.3">
      <c r="A9" s="58">
        <v>6</v>
      </c>
      <c r="B9" s="58">
        <v>672</v>
      </c>
      <c r="C9" s="58">
        <v>665</v>
      </c>
      <c r="F9" s="60" t="s">
        <v>161</v>
      </c>
      <c r="G9" t="s">
        <v>162</v>
      </c>
    </row>
    <row r="10" spans="1:7" ht="15.6" x14ac:dyDescent="0.3">
      <c r="A10" s="58">
        <v>7</v>
      </c>
      <c r="B10" s="58">
        <v>674</v>
      </c>
      <c r="C10" s="58">
        <v>669</v>
      </c>
      <c r="F10" s="60" t="s">
        <v>163</v>
      </c>
      <c r="G10" t="s">
        <v>164</v>
      </c>
    </row>
    <row r="11" spans="1:7" ht="15.6" x14ac:dyDescent="0.3">
      <c r="A11" s="58">
        <v>8</v>
      </c>
      <c r="B11" s="58">
        <v>684</v>
      </c>
      <c r="C11" s="58">
        <v>680</v>
      </c>
      <c r="F11" s="60" t="s">
        <v>165</v>
      </c>
      <c r="G11" t="s">
        <v>166</v>
      </c>
    </row>
    <row r="12" spans="1:7" ht="15.6" x14ac:dyDescent="0.3">
      <c r="A12" s="58">
        <v>9</v>
      </c>
      <c r="B12" s="58">
        <v>687</v>
      </c>
      <c r="C12" s="58">
        <v>683</v>
      </c>
      <c r="F12" s="60" t="s">
        <v>167</v>
      </c>
      <c r="G12" t="s">
        <v>168</v>
      </c>
    </row>
    <row r="13" spans="1:7" ht="15.6" x14ac:dyDescent="0.3">
      <c r="A13" s="58">
        <v>10</v>
      </c>
      <c r="B13" s="58">
        <v>698</v>
      </c>
      <c r="C13" s="58">
        <v>690</v>
      </c>
      <c r="F13" s="60" t="s">
        <v>169</v>
      </c>
      <c r="G13" t="s">
        <v>170</v>
      </c>
    </row>
    <row r="14" spans="1:7" ht="15.6" x14ac:dyDescent="0.3">
      <c r="A14" s="58">
        <v>11</v>
      </c>
      <c r="B14" s="58">
        <v>742</v>
      </c>
      <c r="C14" s="58">
        <v>727</v>
      </c>
      <c r="F14" s="60" t="s">
        <v>171</v>
      </c>
      <c r="G14" t="s">
        <v>172</v>
      </c>
    </row>
    <row r="15" spans="1:7" ht="15.6" x14ac:dyDescent="0.3">
      <c r="A15" s="58">
        <v>12</v>
      </c>
      <c r="B15" s="58">
        <v>742</v>
      </c>
      <c r="C15" s="58">
        <v>729</v>
      </c>
      <c r="F15" s="60" t="s">
        <v>173</v>
      </c>
      <c r="G15" t="s">
        <v>174</v>
      </c>
    </row>
    <row r="16" spans="1:7" ht="15.6" x14ac:dyDescent="0.3">
      <c r="A16" s="58">
        <v>13</v>
      </c>
      <c r="B16" s="58">
        <v>744</v>
      </c>
      <c r="C16" s="58">
        <v>737</v>
      </c>
      <c r="F16" s="60" t="s">
        <v>175</v>
      </c>
      <c r="G16" s="59" t="s">
        <v>176</v>
      </c>
    </row>
    <row r="17" spans="1:7" ht="15.6" x14ac:dyDescent="0.3">
      <c r="A17" s="58">
        <v>14</v>
      </c>
      <c r="B17" s="58">
        <v>755</v>
      </c>
      <c r="C17" s="58">
        <v>747</v>
      </c>
      <c r="F17" s="60" t="s">
        <v>177</v>
      </c>
      <c r="G17" t="s">
        <v>178</v>
      </c>
    </row>
    <row r="18" spans="1:7" ht="15.6" x14ac:dyDescent="0.3">
      <c r="A18" s="58">
        <v>15</v>
      </c>
      <c r="B18" s="58">
        <v>815</v>
      </c>
      <c r="C18" s="58">
        <v>804</v>
      </c>
      <c r="F18" s="60" t="s">
        <v>179</v>
      </c>
      <c r="G18" t="s">
        <v>180</v>
      </c>
    </row>
    <row r="19" spans="1:7" ht="15.6" x14ac:dyDescent="0.3">
      <c r="A19" s="58">
        <v>16</v>
      </c>
      <c r="B19" s="58">
        <v>823</v>
      </c>
      <c r="C19" s="58">
        <v>815</v>
      </c>
      <c r="F19" s="60" t="s">
        <v>181</v>
      </c>
      <c r="G19" s="59" t="s">
        <v>182</v>
      </c>
    </row>
    <row r="20" spans="1:7" ht="15.6" x14ac:dyDescent="0.3">
      <c r="A20" s="58">
        <v>17</v>
      </c>
      <c r="B20" s="58">
        <v>828</v>
      </c>
      <c r="C20" s="58">
        <v>831</v>
      </c>
      <c r="F20" s="60" t="s">
        <v>183</v>
      </c>
      <c r="G20" s="59" t="s">
        <v>184</v>
      </c>
    </row>
    <row r="21" spans="1:7" x14ac:dyDescent="0.3">
      <c r="A21" s="58">
        <v>18</v>
      </c>
      <c r="B21" s="58">
        <v>833</v>
      </c>
      <c r="C21" s="58">
        <v>843</v>
      </c>
    </row>
    <row r="22" spans="1:7" x14ac:dyDescent="0.3">
      <c r="A22" s="58">
        <v>19</v>
      </c>
      <c r="B22" s="58">
        <v>847</v>
      </c>
      <c r="C22" s="58">
        <v>843</v>
      </c>
      <c r="G22" t="s">
        <v>185</v>
      </c>
    </row>
    <row r="23" spans="1:7" x14ac:dyDescent="0.3">
      <c r="A23" s="58">
        <v>20</v>
      </c>
      <c r="B23" s="58">
        <v>851</v>
      </c>
      <c r="C23" s="58">
        <v>851</v>
      </c>
    </row>
    <row r="24" spans="1:7" x14ac:dyDescent="0.3">
      <c r="A24" s="58">
        <v>21</v>
      </c>
      <c r="B24" s="58">
        <v>853</v>
      </c>
      <c r="C24" s="58">
        <v>883</v>
      </c>
    </row>
    <row r="25" spans="1:7" x14ac:dyDescent="0.3">
      <c r="A25" s="58">
        <v>22</v>
      </c>
      <c r="B25" s="58">
        <v>883</v>
      </c>
      <c r="C25" s="58">
        <v>889</v>
      </c>
    </row>
    <row r="26" spans="1:7" x14ac:dyDescent="0.3">
      <c r="A26" s="58">
        <v>23</v>
      </c>
      <c r="B26" s="58">
        <v>894</v>
      </c>
      <c r="C26" s="58">
        <v>890</v>
      </c>
    </row>
    <row r="27" spans="1:7" x14ac:dyDescent="0.3">
      <c r="A27" s="58">
        <v>24</v>
      </c>
      <c r="B27" s="58">
        <v>896</v>
      </c>
      <c r="C27" s="58">
        <v>899</v>
      </c>
    </row>
    <row r="28" spans="1:7" x14ac:dyDescent="0.3">
      <c r="A28" s="58">
        <v>25</v>
      </c>
      <c r="B28" s="58">
        <v>905</v>
      </c>
      <c r="C28" s="58">
        <v>923</v>
      </c>
    </row>
    <row r="29" spans="1:7" x14ac:dyDescent="0.3">
      <c r="A29" s="58">
        <v>26</v>
      </c>
      <c r="B29" s="58">
        <v>909</v>
      </c>
      <c r="C29" s="58">
        <v>928</v>
      </c>
    </row>
    <row r="30" spans="1:7" x14ac:dyDescent="0.3">
      <c r="A30" s="58">
        <v>27</v>
      </c>
      <c r="B30" s="58">
        <v>910</v>
      </c>
      <c r="C30" s="58">
        <v>936</v>
      </c>
    </row>
    <row r="31" spans="1:7" x14ac:dyDescent="0.3">
      <c r="A31" s="58">
        <v>28</v>
      </c>
      <c r="B31" s="58">
        <v>935</v>
      </c>
      <c r="C31" s="58">
        <v>945</v>
      </c>
    </row>
    <row r="32" spans="1:7" x14ac:dyDescent="0.3">
      <c r="A32" s="58">
        <v>29</v>
      </c>
      <c r="B32" s="58">
        <v>938</v>
      </c>
      <c r="C32" s="58">
        <v>973</v>
      </c>
    </row>
    <row r="33" spans="1:3" x14ac:dyDescent="0.3">
      <c r="A33" s="58">
        <v>30</v>
      </c>
      <c r="B33" s="58">
        <v>979</v>
      </c>
      <c r="C33" s="58">
        <v>975</v>
      </c>
    </row>
    <row r="34" spans="1:3" x14ac:dyDescent="0.3">
      <c r="A34" s="58">
        <v>31</v>
      </c>
      <c r="B34" s="58">
        <v>981</v>
      </c>
      <c r="C34" s="58">
        <v>976</v>
      </c>
    </row>
    <row r="35" spans="1:3" x14ac:dyDescent="0.3">
      <c r="A35" s="58">
        <v>32</v>
      </c>
      <c r="B35" s="58">
        <v>985</v>
      </c>
      <c r="C35" s="58">
        <v>976</v>
      </c>
    </row>
    <row r="36" spans="1:3" x14ac:dyDescent="0.3">
      <c r="A36" s="58">
        <v>33</v>
      </c>
      <c r="B36" s="58">
        <v>986</v>
      </c>
      <c r="C36" s="58">
        <v>983</v>
      </c>
    </row>
    <row r="37" spans="1:3" x14ac:dyDescent="0.3">
      <c r="A37" s="58">
        <v>34</v>
      </c>
      <c r="B37" s="58">
        <v>998</v>
      </c>
      <c r="C37" s="58">
        <v>984</v>
      </c>
    </row>
    <row r="38" spans="1:3" x14ac:dyDescent="0.3">
      <c r="A38" s="58">
        <v>35</v>
      </c>
      <c r="B38" s="58">
        <v>1001</v>
      </c>
      <c r="C38" s="58">
        <v>995</v>
      </c>
    </row>
    <row r="39" spans="1:3" x14ac:dyDescent="0.3">
      <c r="A39" s="58">
        <v>36</v>
      </c>
      <c r="B39" s="58">
        <v>1007</v>
      </c>
      <c r="C39" s="58">
        <v>996</v>
      </c>
    </row>
    <row r="40" spans="1:3" x14ac:dyDescent="0.3">
      <c r="A40" s="58">
        <v>37</v>
      </c>
      <c r="B40" s="58">
        <v>1020</v>
      </c>
      <c r="C40" s="58">
        <v>1010</v>
      </c>
    </row>
    <row r="41" spans="1:3" x14ac:dyDescent="0.3">
      <c r="A41" s="58">
        <v>38</v>
      </c>
      <c r="B41" s="58">
        <v>1021</v>
      </c>
      <c r="C41" s="58">
        <v>1019</v>
      </c>
    </row>
    <row r="42" spans="1:3" x14ac:dyDescent="0.3">
      <c r="A42" s="58">
        <v>39</v>
      </c>
      <c r="B42" s="58">
        <v>1027</v>
      </c>
      <c r="C42" s="58">
        <v>1022</v>
      </c>
    </row>
    <row r="43" spans="1:3" x14ac:dyDescent="0.3">
      <c r="A43" s="58">
        <v>40</v>
      </c>
      <c r="B43" s="58">
        <v>1044</v>
      </c>
      <c r="C43" s="58">
        <v>1025</v>
      </c>
    </row>
    <row r="44" spans="1:3" x14ac:dyDescent="0.3">
      <c r="A44" s="58">
        <v>41</v>
      </c>
      <c r="B44" s="58">
        <v>1047</v>
      </c>
      <c r="C44" s="58">
        <v>1036</v>
      </c>
    </row>
    <row r="45" spans="1:3" x14ac:dyDescent="0.3">
      <c r="A45" s="58">
        <v>42</v>
      </c>
      <c r="B45" s="58">
        <v>1071</v>
      </c>
      <c r="C45" s="58">
        <v>1063</v>
      </c>
    </row>
    <row r="46" spans="1:3" x14ac:dyDescent="0.3">
      <c r="A46" s="58">
        <v>43</v>
      </c>
      <c r="B46" s="58">
        <v>1083</v>
      </c>
      <c r="C46" s="58">
        <v>1072</v>
      </c>
    </row>
    <row r="47" spans="1:3" x14ac:dyDescent="0.3">
      <c r="A47" s="58">
        <v>44</v>
      </c>
      <c r="B47" s="58">
        <v>1110</v>
      </c>
      <c r="C47" s="58">
        <v>1074</v>
      </c>
    </row>
    <row r="48" spans="1:3" x14ac:dyDescent="0.3">
      <c r="A48" s="58">
        <v>45</v>
      </c>
      <c r="B48" s="58">
        <v>1146</v>
      </c>
      <c r="C48" s="58">
        <v>1127</v>
      </c>
    </row>
    <row r="49" spans="1:3" x14ac:dyDescent="0.3">
      <c r="A49" s="58">
        <v>46</v>
      </c>
      <c r="B49" s="58">
        <v>1198</v>
      </c>
      <c r="C49" s="58">
        <v>1185</v>
      </c>
    </row>
    <row r="50" spans="1:3" x14ac:dyDescent="0.3">
      <c r="A50" s="58">
        <v>47</v>
      </c>
      <c r="B50" s="58">
        <v>1248</v>
      </c>
      <c r="C50" s="58">
        <v>1232</v>
      </c>
    </row>
    <row r="51" spans="1:3" x14ac:dyDescent="0.3">
      <c r="A51" s="58">
        <v>48</v>
      </c>
      <c r="B51" s="58">
        <v>1255</v>
      </c>
      <c r="C51" s="58">
        <v>1236</v>
      </c>
    </row>
    <row r="52" spans="1:3" x14ac:dyDescent="0.3">
      <c r="A52" s="58">
        <v>49</v>
      </c>
      <c r="B52" s="58">
        <v>1269</v>
      </c>
      <c r="C52" s="58">
        <v>1272</v>
      </c>
    </row>
    <row r="53" spans="1:3" x14ac:dyDescent="0.3">
      <c r="A53" s="58">
        <v>50</v>
      </c>
      <c r="B53" s="58">
        <v>1298</v>
      </c>
      <c r="C53" s="58">
        <v>1289</v>
      </c>
    </row>
    <row r="54" spans="1:3" x14ac:dyDescent="0.3">
      <c r="A54" s="58">
        <v>51</v>
      </c>
      <c r="B54" s="58">
        <v>1299</v>
      </c>
      <c r="C54" s="58">
        <v>1297</v>
      </c>
    </row>
    <row r="55" spans="1:3" x14ac:dyDescent="0.3">
      <c r="A55" s="58">
        <v>52</v>
      </c>
      <c r="B55" s="58">
        <v>1305</v>
      </c>
      <c r="C55" s="58">
        <v>1302</v>
      </c>
    </row>
    <row r="56" spans="1:3" x14ac:dyDescent="0.3">
      <c r="A56" s="58">
        <v>53</v>
      </c>
      <c r="B56" s="58">
        <v>1306</v>
      </c>
      <c r="C56" s="58">
        <v>1304</v>
      </c>
    </row>
    <row r="57" spans="1:3" x14ac:dyDescent="0.3">
      <c r="A57" s="58">
        <v>54</v>
      </c>
      <c r="B57" s="58">
        <v>1316</v>
      </c>
      <c r="C57" s="58">
        <v>1374</v>
      </c>
    </row>
    <row r="58" spans="1:3" x14ac:dyDescent="0.3">
      <c r="A58" s="58">
        <v>55</v>
      </c>
      <c r="B58" s="58">
        <v>1323</v>
      </c>
      <c r="C58" s="58">
        <v>1382</v>
      </c>
    </row>
    <row r="59" spans="1:3" x14ac:dyDescent="0.3">
      <c r="A59" s="58">
        <v>56</v>
      </c>
      <c r="B59" s="58">
        <v>1335</v>
      </c>
      <c r="C59" s="58">
        <v>1393</v>
      </c>
    </row>
    <row r="60" spans="1:3" x14ac:dyDescent="0.3">
      <c r="A60" s="58">
        <v>57</v>
      </c>
      <c r="B60" s="58">
        <v>1406</v>
      </c>
      <c r="C60" s="58">
        <v>1402</v>
      </c>
    </row>
    <row r="61" spans="1:3" x14ac:dyDescent="0.3">
      <c r="A61" s="58">
        <v>58</v>
      </c>
      <c r="B61" s="58">
        <v>1480</v>
      </c>
      <c r="C61" s="58">
        <v>1463</v>
      </c>
    </row>
    <row r="62" spans="1:3" x14ac:dyDescent="0.3">
      <c r="A62" s="58">
        <v>59</v>
      </c>
      <c r="B62" s="58">
        <v>1526</v>
      </c>
      <c r="C62" s="58">
        <v>1482</v>
      </c>
    </row>
    <row r="63" spans="1:3" x14ac:dyDescent="0.3">
      <c r="A63" s="58">
        <v>60</v>
      </c>
      <c r="B63" s="58">
        <v>1528</v>
      </c>
      <c r="C63" s="58">
        <v>1492</v>
      </c>
    </row>
    <row r="64" spans="1:3" x14ac:dyDescent="0.3">
      <c r="A64" s="58">
        <v>61</v>
      </c>
      <c r="B64" s="58">
        <v>1540</v>
      </c>
      <c r="C64" s="58">
        <v>1493</v>
      </c>
    </row>
    <row r="65" spans="1:3" x14ac:dyDescent="0.3">
      <c r="A65" s="58">
        <v>62</v>
      </c>
      <c r="B65" s="58">
        <v>1558</v>
      </c>
      <c r="C65" s="58">
        <v>1588</v>
      </c>
    </row>
    <row r="66" spans="1:3" x14ac:dyDescent="0.3">
      <c r="A66" s="58">
        <v>63</v>
      </c>
      <c r="B66" s="58">
        <v>1582</v>
      </c>
      <c r="C66" s="58">
        <v>1611</v>
      </c>
    </row>
    <row r="67" spans="1:3" x14ac:dyDescent="0.3">
      <c r="A67" s="58">
        <v>64</v>
      </c>
      <c r="B67" s="58">
        <v>1705</v>
      </c>
      <c r="C67" s="58">
        <v>1794</v>
      </c>
    </row>
    <row r="68" spans="1:3" x14ac:dyDescent="0.3">
      <c r="A68" s="58">
        <v>65</v>
      </c>
      <c r="B68" s="58">
        <v>1734</v>
      </c>
      <c r="C68" s="58">
        <v>1841</v>
      </c>
    </row>
    <row r="69" spans="1:3" x14ac:dyDescent="0.3">
      <c r="A69" s="58">
        <v>66</v>
      </c>
      <c r="B69" s="58">
        <v>1783</v>
      </c>
      <c r="C69" s="58">
        <v>1871</v>
      </c>
    </row>
    <row r="70" spans="1:3" x14ac:dyDescent="0.3">
      <c r="A70" s="58">
        <v>67</v>
      </c>
      <c r="B70" s="58">
        <v>1929</v>
      </c>
      <c r="C70" s="58">
        <v>1881</v>
      </c>
    </row>
    <row r="71" spans="1:3" x14ac:dyDescent="0.3">
      <c r="A71" s="58">
        <v>68</v>
      </c>
      <c r="B71" s="58">
        <v>1972</v>
      </c>
      <c r="C71" s="58">
        <v>1901</v>
      </c>
    </row>
    <row r="72" spans="1:3" x14ac:dyDescent="0.3">
      <c r="A72" s="58">
        <v>69</v>
      </c>
      <c r="B72" s="58">
        <v>2014</v>
      </c>
      <c r="C72" s="58">
        <v>1933</v>
      </c>
    </row>
    <row r="73" spans="1:3" x14ac:dyDescent="0.3">
      <c r="A73" s="58">
        <v>70</v>
      </c>
      <c r="B73" s="58">
        <v>2021</v>
      </c>
      <c r="C73" s="58">
        <v>1939</v>
      </c>
    </row>
    <row r="74" spans="1:3" x14ac:dyDescent="0.3">
      <c r="A74" s="58">
        <v>71</v>
      </c>
      <c r="B74" s="58">
        <v>2223</v>
      </c>
      <c r="C74" s="58">
        <v>2133</v>
      </c>
    </row>
    <row r="75" spans="1:3" x14ac:dyDescent="0.3">
      <c r="A75" s="58">
        <v>72</v>
      </c>
      <c r="B75" s="58">
        <v>2276</v>
      </c>
      <c r="C75" s="58">
        <v>2229</v>
      </c>
    </row>
    <row r="76" spans="1:3" x14ac:dyDescent="0.3">
      <c r="A76" s="58">
        <v>73</v>
      </c>
      <c r="B76" s="58">
        <v>2349</v>
      </c>
      <c r="C76" s="58">
        <v>2234</v>
      </c>
    </row>
    <row r="77" spans="1:3" x14ac:dyDescent="0.3">
      <c r="A77" s="58">
        <v>74</v>
      </c>
      <c r="B77" s="58">
        <v>2362</v>
      </c>
      <c r="C77" s="58">
        <v>2303</v>
      </c>
    </row>
    <row r="78" spans="1:3" x14ac:dyDescent="0.3">
      <c r="A78" s="58">
        <v>75</v>
      </c>
      <c r="B78" s="58">
        <v>2405</v>
      </c>
      <c r="C78" s="58">
        <v>2410</v>
      </c>
    </row>
    <row r="79" spans="1:3" x14ac:dyDescent="0.3">
      <c r="A79" s="58">
        <v>76</v>
      </c>
      <c r="B79" s="58">
        <v>2536</v>
      </c>
      <c r="C79" s="58">
        <v>2412</v>
      </c>
    </row>
    <row r="80" spans="1:3" x14ac:dyDescent="0.3">
      <c r="A80" s="58">
        <v>77</v>
      </c>
      <c r="B80" s="58">
        <v>2607</v>
      </c>
      <c r="C80" s="58">
        <v>2534</v>
      </c>
    </row>
    <row r="81" spans="1:3" x14ac:dyDescent="0.3">
      <c r="A81" s="58">
        <v>78</v>
      </c>
      <c r="B81" s="58">
        <v>2634</v>
      </c>
      <c r="C81" s="58">
        <v>2547</v>
      </c>
    </row>
    <row r="82" spans="1:3" x14ac:dyDescent="0.3">
      <c r="A82" s="58">
        <v>79</v>
      </c>
      <c r="B82" s="58">
        <v>2641</v>
      </c>
      <c r="C82" s="58">
        <v>2604</v>
      </c>
    </row>
    <row r="83" spans="1:3" x14ac:dyDescent="0.3">
      <c r="A83" s="58">
        <v>80</v>
      </c>
      <c r="B83" s="58">
        <v>2652</v>
      </c>
      <c r="C83" s="58">
        <v>2642</v>
      </c>
    </row>
    <row r="84" spans="1:3" x14ac:dyDescent="0.3">
      <c r="A84" s="58">
        <v>81</v>
      </c>
      <c r="B84" s="58">
        <v>2673</v>
      </c>
      <c r="C84" s="58">
        <v>2696</v>
      </c>
    </row>
    <row r="85" spans="1:3" x14ac:dyDescent="0.3">
      <c r="A85" s="58">
        <v>82</v>
      </c>
      <c r="B85" s="58">
        <v>2712</v>
      </c>
      <c r="C85" s="58">
        <v>2701</v>
      </c>
    </row>
    <row r="86" spans="1:3" x14ac:dyDescent="0.3">
      <c r="A86" s="58">
        <v>83</v>
      </c>
      <c r="B86" s="58">
        <v>2720</v>
      </c>
      <c r="C86" s="58">
        <v>2730</v>
      </c>
    </row>
    <row r="87" spans="1:3" x14ac:dyDescent="0.3">
      <c r="A87" s="58">
        <v>84</v>
      </c>
      <c r="B87" s="58">
        <v>2846</v>
      </c>
      <c r="C87" s="58">
        <v>2737</v>
      </c>
    </row>
    <row r="88" spans="1:3" x14ac:dyDescent="0.3">
      <c r="A88" s="58">
        <v>85</v>
      </c>
      <c r="B88" s="58">
        <v>2941</v>
      </c>
      <c r="C88" s="58">
        <v>2737</v>
      </c>
    </row>
    <row r="89" spans="1:3" x14ac:dyDescent="0.3">
      <c r="A89" s="58">
        <v>86</v>
      </c>
      <c r="B89" s="58">
        <v>3017</v>
      </c>
      <c r="C89" s="58">
        <v>2947</v>
      </c>
    </row>
    <row r="90" spans="1:3" x14ac:dyDescent="0.3">
      <c r="A90" s="58">
        <v>87</v>
      </c>
      <c r="B90" s="58">
        <v>3118</v>
      </c>
      <c r="C90" s="58">
        <v>3086</v>
      </c>
    </row>
    <row r="91" spans="1:3" x14ac:dyDescent="0.3">
      <c r="A91" s="58">
        <v>88</v>
      </c>
      <c r="B91" s="58">
        <v>3241</v>
      </c>
      <c r="C91" s="58">
        <v>3233</v>
      </c>
    </row>
    <row r="92" spans="1:3" x14ac:dyDescent="0.3">
      <c r="A92" s="58">
        <v>89</v>
      </c>
      <c r="B92" s="58">
        <v>3412</v>
      </c>
      <c r="C92" s="58">
        <v>3459</v>
      </c>
    </row>
    <row r="93" spans="1:3" x14ac:dyDescent="0.3">
      <c r="A93" s="58">
        <v>90</v>
      </c>
      <c r="B93" s="58">
        <v>3514</v>
      </c>
      <c r="C93" s="58">
        <v>3516</v>
      </c>
    </row>
    <row r="94" spans="1:3" x14ac:dyDescent="0.3">
      <c r="A94" s="58">
        <v>91</v>
      </c>
      <c r="B94" s="58">
        <v>3538</v>
      </c>
      <c r="C94" s="58">
        <v>3542</v>
      </c>
    </row>
    <row r="95" spans="1:3" x14ac:dyDescent="0.3">
      <c r="A95" s="58">
        <v>92</v>
      </c>
      <c r="B95" s="58">
        <v>3668</v>
      </c>
      <c r="C95" s="58">
        <v>3631</v>
      </c>
    </row>
    <row r="96" spans="1:3" x14ac:dyDescent="0.3">
      <c r="A96" s="58">
        <v>93</v>
      </c>
      <c r="B96" s="58">
        <v>3671</v>
      </c>
      <c r="C96" s="58">
        <v>3635</v>
      </c>
    </row>
    <row r="97" spans="1:3" x14ac:dyDescent="0.3">
      <c r="A97" s="58">
        <v>94</v>
      </c>
      <c r="B97" s="58">
        <v>3797</v>
      </c>
      <c r="C97" s="58">
        <v>3964</v>
      </c>
    </row>
    <row r="98" spans="1:3" x14ac:dyDescent="0.3">
      <c r="A98" s="58">
        <v>95</v>
      </c>
      <c r="B98" s="58">
        <v>3889</v>
      </c>
      <c r="C98" s="58">
        <v>4010</v>
      </c>
    </row>
    <row r="99" spans="1:3" x14ac:dyDescent="0.3">
      <c r="A99" s="58">
        <v>96</v>
      </c>
      <c r="B99" s="58">
        <v>3907</v>
      </c>
      <c r="C99" s="58">
        <v>4021</v>
      </c>
    </row>
    <row r="100" spans="1:3" x14ac:dyDescent="0.3">
      <c r="A100" s="58">
        <v>97</v>
      </c>
      <c r="B100" s="58">
        <v>4052</v>
      </c>
      <c r="C100" s="58">
        <v>4044</v>
      </c>
    </row>
    <row r="101" spans="1:3" x14ac:dyDescent="0.3">
      <c r="A101" s="58">
        <v>98</v>
      </c>
      <c r="B101" s="58">
        <v>4087</v>
      </c>
      <c r="C101" s="58">
        <v>4062</v>
      </c>
    </row>
    <row r="102" spans="1:3" x14ac:dyDescent="0.3">
      <c r="A102" s="58">
        <v>99</v>
      </c>
      <c r="B102" s="58">
        <v>4265</v>
      </c>
      <c r="C102" s="58">
        <v>4118</v>
      </c>
    </row>
    <row r="103" spans="1:3" x14ac:dyDescent="0.3">
      <c r="A103" s="58">
        <v>100</v>
      </c>
      <c r="B103" s="58">
        <v>4277</v>
      </c>
      <c r="C103" s="58">
        <v>4123</v>
      </c>
    </row>
    <row r="104" spans="1:3" x14ac:dyDescent="0.3">
      <c r="A104" s="58">
        <v>101</v>
      </c>
      <c r="B104" s="58">
        <v>4368</v>
      </c>
      <c r="C104" s="58">
        <v>4132</v>
      </c>
    </row>
    <row r="105" spans="1:3" x14ac:dyDescent="0.3">
      <c r="A105" s="58">
        <v>102</v>
      </c>
      <c r="B105" s="58">
        <v>4440</v>
      </c>
      <c r="C105" s="58">
        <v>4254</v>
      </c>
    </row>
    <row r="106" spans="1:3" x14ac:dyDescent="0.3">
      <c r="A106" s="58">
        <v>103</v>
      </c>
      <c r="B106" s="58">
        <v>4503</v>
      </c>
      <c r="C106" s="58">
        <v>4387</v>
      </c>
    </row>
    <row r="107" spans="1:3" x14ac:dyDescent="0.3">
      <c r="A107" s="58">
        <v>104</v>
      </c>
      <c r="B107" s="58">
        <v>4545</v>
      </c>
      <c r="C107" s="58">
        <v>4388</v>
      </c>
    </row>
    <row r="108" spans="1:3" x14ac:dyDescent="0.3">
      <c r="A108" s="58">
        <v>105</v>
      </c>
      <c r="B108" s="58">
        <v>4574</v>
      </c>
      <c r="C108" s="58">
        <v>4440</v>
      </c>
    </row>
    <row r="109" spans="1:3" x14ac:dyDescent="0.3">
      <c r="A109" s="58">
        <v>106</v>
      </c>
      <c r="B109" s="58">
        <v>4594</v>
      </c>
      <c r="C109" s="58">
        <v>4442</v>
      </c>
    </row>
    <row r="110" spans="1:3" x14ac:dyDescent="0.3">
      <c r="A110" s="58">
        <v>107</v>
      </c>
      <c r="B110" s="58">
        <v>4766</v>
      </c>
      <c r="C110" s="58">
        <v>4465</v>
      </c>
    </row>
    <row r="111" spans="1:3" x14ac:dyDescent="0.3">
      <c r="A111" s="58">
        <v>108</v>
      </c>
      <c r="B111" s="58">
        <v>4910</v>
      </c>
      <c r="C111" s="58">
        <v>4656</v>
      </c>
    </row>
    <row r="112" spans="1:3" x14ac:dyDescent="0.3">
      <c r="A112" s="58">
        <v>109</v>
      </c>
      <c r="B112" s="58">
        <v>4912</v>
      </c>
      <c r="C112" s="58">
        <v>4761</v>
      </c>
    </row>
    <row r="113" spans="1:3" x14ac:dyDescent="0.3">
      <c r="A113" s="58">
        <v>110</v>
      </c>
      <c r="B113" s="58">
        <v>4953</v>
      </c>
      <c r="C113" s="58">
        <v>4807</v>
      </c>
    </row>
    <row r="114" spans="1:3" x14ac:dyDescent="0.3">
      <c r="A114" s="58">
        <v>111</v>
      </c>
      <c r="B114" s="58">
        <v>4988</v>
      </c>
      <c r="C114" s="58">
        <v>4915</v>
      </c>
    </row>
    <row r="115" spans="1:3" x14ac:dyDescent="0.3">
      <c r="A115" s="58">
        <v>112</v>
      </c>
      <c r="B115" s="58">
        <v>5051</v>
      </c>
      <c r="C115" s="58">
        <v>5002</v>
      </c>
    </row>
    <row r="116" spans="1:3" x14ac:dyDescent="0.3">
      <c r="A116" s="58">
        <v>113</v>
      </c>
      <c r="B116" s="58">
        <v>5244</v>
      </c>
      <c r="C116" s="58">
        <v>5072</v>
      </c>
    </row>
    <row r="117" spans="1:3" x14ac:dyDescent="0.3">
      <c r="A117" s="58">
        <v>114</v>
      </c>
      <c r="B117" s="58">
        <v>5291</v>
      </c>
      <c r="C117" s="58">
        <v>5080</v>
      </c>
    </row>
    <row r="118" spans="1:3" x14ac:dyDescent="0.3">
      <c r="A118" s="58">
        <v>115</v>
      </c>
      <c r="B118" s="58">
        <v>5393</v>
      </c>
      <c r="C118" s="58">
        <v>5329</v>
      </c>
    </row>
    <row r="119" spans="1:3" x14ac:dyDescent="0.3">
      <c r="A119" s="58">
        <v>116</v>
      </c>
      <c r="B119" s="58">
        <v>5422</v>
      </c>
      <c r="C119" s="58">
        <v>5409</v>
      </c>
    </row>
    <row r="120" spans="1:3" x14ac:dyDescent="0.3">
      <c r="A120" s="58">
        <v>117</v>
      </c>
      <c r="B120" s="58">
        <v>5832</v>
      </c>
      <c r="C120" s="58">
        <v>5905</v>
      </c>
    </row>
    <row r="121" spans="1:3" x14ac:dyDescent="0.3">
      <c r="A121" s="58">
        <v>118</v>
      </c>
      <c r="B121" s="58">
        <v>6771</v>
      </c>
      <c r="C121" s="58">
        <v>6765</v>
      </c>
    </row>
    <row r="122" spans="1:3" x14ac:dyDescent="0.3">
      <c r="A122" s="58">
        <v>119</v>
      </c>
      <c r="B122" s="58">
        <v>7118</v>
      </c>
      <c r="C122" s="58">
        <v>6786</v>
      </c>
    </row>
    <row r="123" spans="1:3" x14ac:dyDescent="0.3">
      <c r="A123" s="58">
        <v>120</v>
      </c>
      <c r="B123" s="58">
        <v>7242</v>
      </c>
      <c r="C123" s="58">
        <v>6947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9429-5E4E-426C-84AF-694CCB5D41B6}">
  <dimension ref="A1:B26"/>
  <sheetViews>
    <sheetView workbookViewId="0">
      <selection activeCell="M14" sqref="M14"/>
    </sheetView>
  </sheetViews>
  <sheetFormatPr defaultRowHeight="14.4" x14ac:dyDescent="0.3"/>
  <cols>
    <col min="2" max="2" width="6.77734375" style="6" customWidth="1"/>
  </cols>
  <sheetData>
    <row r="1" spans="1:2" x14ac:dyDescent="0.3">
      <c r="B1" s="7" t="s">
        <v>143</v>
      </c>
    </row>
    <row r="2" spans="1:2" x14ac:dyDescent="0.3">
      <c r="A2" s="7">
        <v>1</v>
      </c>
      <c r="B2" s="38">
        <v>3</v>
      </c>
    </row>
    <row r="3" spans="1:2" x14ac:dyDescent="0.3">
      <c r="A3" s="7">
        <v>2</v>
      </c>
      <c r="B3" s="38">
        <v>3.5</v>
      </c>
    </row>
    <row r="4" spans="1:2" x14ac:dyDescent="0.3">
      <c r="A4" s="7">
        <v>3</v>
      </c>
      <c r="B4" s="38">
        <v>4</v>
      </c>
    </row>
    <row r="5" spans="1:2" x14ac:dyDescent="0.3">
      <c r="A5" s="7">
        <v>4</v>
      </c>
      <c r="B5" s="38">
        <v>4.4000000000000004</v>
      </c>
    </row>
    <row r="6" spans="1:2" x14ac:dyDescent="0.3">
      <c r="A6" s="7">
        <v>5</v>
      </c>
      <c r="B6" s="38">
        <v>4.5</v>
      </c>
    </row>
    <row r="7" spans="1:2" x14ac:dyDescent="0.3">
      <c r="A7" s="7">
        <v>6</v>
      </c>
      <c r="B7" s="38">
        <v>5.2</v>
      </c>
    </row>
    <row r="8" spans="1:2" x14ac:dyDescent="0.3">
      <c r="A8" s="7">
        <v>7</v>
      </c>
      <c r="B8" s="38">
        <v>5.4</v>
      </c>
    </row>
    <row r="9" spans="1:2" x14ac:dyDescent="0.3">
      <c r="A9" s="7">
        <v>8</v>
      </c>
      <c r="B9" s="38">
        <v>5.6</v>
      </c>
    </row>
    <row r="10" spans="1:2" x14ac:dyDescent="0.3">
      <c r="A10" s="7">
        <v>9</v>
      </c>
      <c r="B10" s="38">
        <v>5.8</v>
      </c>
    </row>
    <row r="11" spans="1:2" x14ac:dyDescent="0.3">
      <c r="A11" s="7">
        <v>10</v>
      </c>
      <c r="B11" s="38">
        <v>6</v>
      </c>
    </row>
    <row r="12" spans="1:2" x14ac:dyDescent="0.3">
      <c r="A12" s="7">
        <v>11</v>
      </c>
      <c r="B12" s="38">
        <v>6.3</v>
      </c>
    </row>
    <row r="13" spans="1:2" x14ac:dyDescent="0.3">
      <c r="A13" s="7">
        <v>12</v>
      </c>
      <c r="B13" s="38">
        <v>6.5</v>
      </c>
    </row>
    <row r="14" spans="1:2" x14ac:dyDescent="0.3">
      <c r="A14" s="7">
        <v>13</v>
      </c>
      <c r="B14" s="38">
        <v>6.8</v>
      </c>
    </row>
    <row r="15" spans="1:2" x14ac:dyDescent="0.3">
      <c r="A15" s="7">
        <v>14</v>
      </c>
      <c r="B15" s="38">
        <v>7</v>
      </c>
    </row>
    <row r="16" spans="1:2" x14ac:dyDescent="0.3">
      <c r="A16" s="7">
        <v>15</v>
      </c>
      <c r="B16" s="38">
        <v>7.2</v>
      </c>
    </row>
    <row r="17" spans="1:2" x14ac:dyDescent="0.3">
      <c r="A17" s="7">
        <v>16</v>
      </c>
      <c r="B17" s="38">
        <v>7.4</v>
      </c>
    </row>
    <row r="18" spans="1:2" x14ac:dyDescent="0.3">
      <c r="A18" s="7">
        <v>17</v>
      </c>
      <c r="B18" s="38">
        <v>7.5</v>
      </c>
    </row>
    <row r="19" spans="1:2" x14ac:dyDescent="0.3">
      <c r="A19" s="7">
        <v>18</v>
      </c>
      <c r="B19" s="38">
        <v>8</v>
      </c>
    </row>
    <row r="20" spans="1:2" x14ac:dyDescent="0.3">
      <c r="A20" s="7">
        <v>19</v>
      </c>
      <c r="B20" s="38">
        <v>8.1999999999999993</v>
      </c>
    </row>
    <row r="21" spans="1:2" x14ac:dyDescent="0.3">
      <c r="A21" s="7">
        <v>20</v>
      </c>
      <c r="B21" s="38">
        <v>8.5</v>
      </c>
    </row>
    <row r="22" spans="1:2" x14ac:dyDescent="0.3">
      <c r="A22" s="7">
        <v>21</v>
      </c>
      <c r="B22" s="38">
        <v>8.9</v>
      </c>
    </row>
    <row r="23" spans="1:2" x14ac:dyDescent="0.3">
      <c r="A23" s="7">
        <v>22</v>
      </c>
      <c r="B23" s="37">
        <v>9</v>
      </c>
    </row>
    <row r="24" spans="1:2" x14ac:dyDescent="0.3">
      <c r="A24" s="7">
        <v>23</v>
      </c>
      <c r="B24" s="37">
        <v>9.5</v>
      </c>
    </row>
    <row r="25" spans="1:2" x14ac:dyDescent="0.3">
      <c r="A25" s="7">
        <v>24</v>
      </c>
      <c r="B25" s="37">
        <v>10</v>
      </c>
    </row>
    <row r="26" spans="1:2" x14ac:dyDescent="0.3">
      <c r="A26" s="7">
        <v>25</v>
      </c>
      <c r="B26" s="37">
        <v>10.4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8FBC-9D09-452E-BF1E-F2F63D2EB62B}">
  <dimension ref="A1:W23"/>
  <sheetViews>
    <sheetView workbookViewId="0">
      <selection activeCell="Q23" sqref="Q23"/>
    </sheetView>
  </sheetViews>
  <sheetFormatPr defaultRowHeight="14.4" x14ac:dyDescent="0.3"/>
  <cols>
    <col min="1" max="1" width="10.33203125" customWidth="1"/>
    <col min="2" max="2" width="12" bestFit="1" customWidth="1"/>
    <col min="3" max="3" width="10.6640625" bestFit="1" customWidth="1"/>
    <col min="4" max="5" width="9.44140625" bestFit="1" customWidth="1"/>
    <col min="6" max="6" width="9.33203125" bestFit="1" customWidth="1"/>
    <col min="9" max="9" width="9.5546875" bestFit="1" customWidth="1"/>
    <col min="13" max="13" width="9.88671875" bestFit="1" customWidth="1"/>
  </cols>
  <sheetData>
    <row r="1" spans="1:23" x14ac:dyDescent="0.3">
      <c r="G1" s="3"/>
      <c r="H1" s="7"/>
      <c r="I1" s="3"/>
      <c r="J1" s="7"/>
      <c r="K1" s="3"/>
      <c r="L1" s="7"/>
      <c r="M1" s="3"/>
      <c r="N1" s="7"/>
    </row>
    <row r="2" spans="1:23" ht="18" x14ac:dyDescent="0.35">
      <c r="A2" s="39" t="s">
        <v>144</v>
      </c>
      <c r="B2" s="40" t="s">
        <v>145</v>
      </c>
      <c r="C2" s="40" t="s">
        <v>146</v>
      </c>
      <c r="D2" s="7"/>
      <c r="E2" s="7"/>
      <c r="F2" s="7"/>
      <c r="G2" s="3"/>
      <c r="H2" s="7"/>
      <c r="I2" s="3"/>
      <c r="J2" s="7"/>
      <c r="K2" s="3"/>
      <c r="L2" s="7"/>
      <c r="M2" s="3"/>
      <c r="N2" s="7"/>
      <c r="O2" s="41"/>
    </row>
    <row r="3" spans="1:23" ht="18" x14ac:dyDescent="0.35">
      <c r="A3" s="42">
        <v>1</v>
      </c>
      <c r="B3" s="43">
        <v>7</v>
      </c>
      <c r="C3" s="43">
        <v>6</v>
      </c>
      <c r="D3" s="7"/>
      <c r="E3" s="7"/>
      <c r="F3" s="7"/>
      <c r="G3" s="44"/>
      <c r="H3" s="45"/>
      <c r="I3" s="46"/>
      <c r="J3" s="45"/>
      <c r="K3" s="46"/>
      <c r="L3" s="45"/>
      <c r="M3" s="47"/>
      <c r="N3" s="45"/>
      <c r="O3" s="48"/>
    </row>
    <row r="4" spans="1:23" ht="18" x14ac:dyDescent="0.35">
      <c r="A4" s="42">
        <v>2</v>
      </c>
      <c r="B4" s="43">
        <v>6</v>
      </c>
      <c r="C4" s="43">
        <v>5</v>
      </c>
      <c r="D4" s="7"/>
      <c r="E4" s="7"/>
      <c r="F4" s="7"/>
      <c r="G4" s="44"/>
      <c r="H4" s="45"/>
      <c r="I4" s="46"/>
      <c r="J4" s="45"/>
      <c r="K4" s="46"/>
      <c r="L4" s="45"/>
      <c r="M4" s="47"/>
      <c r="N4" s="45"/>
      <c r="O4" s="48"/>
    </row>
    <row r="5" spans="1:23" ht="18" x14ac:dyDescent="0.35">
      <c r="A5" s="42">
        <v>3</v>
      </c>
      <c r="B5" s="43">
        <v>9</v>
      </c>
      <c r="C5" s="43">
        <v>10</v>
      </c>
      <c r="D5" s="7"/>
      <c r="E5" s="7"/>
      <c r="F5" s="7"/>
      <c r="G5" s="44"/>
      <c r="H5" s="45"/>
      <c r="I5" s="46"/>
      <c r="J5" s="45"/>
      <c r="K5" s="46"/>
      <c r="L5" s="45"/>
      <c r="M5" s="47"/>
      <c r="N5" s="45"/>
      <c r="O5" s="48"/>
    </row>
    <row r="6" spans="1:23" ht="18" x14ac:dyDescent="0.35">
      <c r="A6" s="42">
        <v>4</v>
      </c>
      <c r="B6" s="43">
        <v>10</v>
      </c>
      <c r="C6" s="43">
        <v>9</v>
      </c>
      <c r="D6" s="7"/>
      <c r="E6" s="7"/>
      <c r="F6" s="7"/>
      <c r="G6" s="44"/>
      <c r="H6" s="45"/>
      <c r="I6" s="46"/>
      <c r="J6" s="45"/>
      <c r="K6" s="46"/>
      <c r="L6" s="45"/>
      <c r="M6" s="47"/>
      <c r="N6" s="45"/>
      <c r="O6" s="48"/>
    </row>
    <row r="7" spans="1:23" ht="18" x14ac:dyDescent="0.35">
      <c r="A7" s="42">
        <v>5</v>
      </c>
      <c r="B7" s="43">
        <v>3</v>
      </c>
      <c r="C7" s="43">
        <v>2</v>
      </c>
      <c r="D7" s="7"/>
      <c r="E7" s="7"/>
      <c r="F7" s="7"/>
      <c r="G7" s="44"/>
      <c r="H7" s="45"/>
      <c r="I7" s="46"/>
      <c r="J7" s="45"/>
      <c r="K7" s="46"/>
      <c r="L7" s="45"/>
      <c r="M7" s="47"/>
      <c r="N7" s="45"/>
      <c r="O7" s="48"/>
    </row>
    <row r="8" spans="1:23" ht="18" x14ac:dyDescent="0.35">
      <c r="A8" s="42">
        <v>6</v>
      </c>
      <c r="B8" s="43">
        <v>4</v>
      </c>
      <c r="C8" s="43">
        <v>3</v>
      </c>
      <c r="D8" s="7"/>
      <c r="E8" s="7"/>
      <c r="F8" s="7"/>
      <c r="G8" s="44"/>
      <c r="H8" s="45"/>
      <c r="I8" s="46"/>
      <c r="J8" s="45"/>
      <c r="K8" s="46"/>
      <c r="L8" s="45"/>
      <c r="M8" s="47"/>
      <c r="N8" s="45"/>
      <c r="O8" s="48"/>
    </row>
    <row r="9" spans="1:23" ht="18" x14ac:dyDescent="0.35">
      <c r="A9" s="42">
        <v>7</v>
      </c>
      <c r="B9" s="43">
        <v>9</v>
      </c>
      <c r="C9" s="43">
        <v>9</v>
      </c>
      <c r="D9" s="7"/>
      <c r="E9" s="7"/>
      <c r="F9" s="7"/>
      <c r="G9" s="44"/>
      <c r="H9" s="45"/>
      <c r="I9" s="46"/>
      <c r="J9" s="45"/>
      <c r="K9" s="46"/>
      <c r="L9" s="45"/>
      <c r="M9" s="47"/>
      <c r="N9" s="45"/>
      <c r="O9" s="48"/>
    </row>
    <row r="10" spans="1:23" ht="18" x14ac:dyDescent="0.35">
      <c r="A10" s="42">
        <v>8</v>
      </c>
      <c r="B10" s="43">
        <v>7</v>
      </c>
      <c r="C10" s="43">
        <v>6</v>
      </c>
      <c r="D10" s="7"/>
      <c r="E10" s="7"/>
      <c r="F10" s="7"/>
      <c r="G10" s="44"/>
      <c r="H10" s="45"/>
      <c r="I10" s="46"/>
      <c r="J10" s="45"/>
      <c r="K10" s="46"/>
      <c r="L10" s="45"/>
      <c r="M10" s="47"/>
      <c r="N10" s="45"/>
      <c r="O10" s="48"/>
    </row>
    <row r="11" spans="1:23" ht="18" x14ac:dyDescent="0.35">
      <c r="A11" s="42">
        <v>9</v>
      </c>
      <c r="B11" s="43">
        <v>6</v>
      </c>
      <c r="C11" s="43">
        <v>6</v>
      </c>
      <c r="D11" s="7"/>
      <c r="E11" s="7"/>
      <c r="F11" s="7"/>
      <c r="G11" s="44"/>
      <c r="H11" s="45"/>
      <c r="I11" s="46"/>
      <c r="J11" s="45"/>
      <c r="K11" s="46"/>
      <c r="L11" s="45"/>
      <c r="M11" s="47"/>
      <c r="N11" s="45"/>
      <c r="O11" s="48"/>
    </row>
    <row r="12" spans="1:23" ht="18" x14ac:dyDescent="0.35">
      <c r="A12" s="42">
        <v>10</v>
      </c>
      <c r="B12" s="43">
        <v>2</v>
      </c>
      <c r="C12" s="43">
        <v>3</v>
      </c>
      <c r="D12" s="7"/>
      <c r="E12" s="7"/>
      <c r="F12" s="7"/>
      <c r="G12" s="44"/>
      <c r="H12" s="45"/>
      <c r="I12" s="46"/>
      <c r="J12" s="45"/>
      <c r="K12" s="46"/>
      <c r="L12" s="45"/>
      <c r="M12" s="47"/>
      <c r="N12" s="45"/>
      <c r="O12" s="48"/>
    </row>
    <row r="13" spans="1:23" ht="18" x14ac:dyDescent="0.35">
      <c r="A13" s="49"/>
      <c r="B13" s="50"/>
      <c r="C13" s="50"/>
      <c r="D13" s="50"/>
      <c r="E13" s="50"/>
      <c r="F13" s="50"/>
      <c r="G13" s="51"/>
      <c r="H13" s="52"/>
      <c r="I13" s="16"/>
      <c r="J13" s="52"/>
      <c r="K13" s="16"/>
      <c r="L13" s="52"/>
      <c r="M13" s="52"/>
      <c r="N13" s="52"/>
      <c r="O13" s="53"/>
    </row>
    <row r="14" spans="1:23" x14ac:dyDescent="0.3">
      <c r="B14" s="4"/>
      <c r="C14" s="4"/>
      <c r="D14" s="4"/>
      <c r="E14" s="4"/>
      <c r="F14" s="4"/>
    </row>
    <row r="15" spans="1:23" x14ac:dyDescent="0.3">
      <c r="A15" s="4"/>
      <c r="B15" s="4"/>
      <c r="C15" s="4"/>
      <c r="D15" s="4"/>
      <c r="E15" s="7"/>
      <c r="F15" s="7"/>
      <c r="G15" s="7"/>
      <c r="H15" s="4"/>
      <c r="I15" s="4"/>
      <c r="J15" s="4"/>
      <c r="K15" s="4"/>
      <c r="L15" s="4"/>
      <c r="M15" s="4"/>
      <c r="N15" s="5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">
      <c r="N16" s="55"/>
    </row>
    <row r="17" spans="5:7" x14ac:dyDescent="0.3">
      <c r="E17" s="5" t="s">
        <v>29</v>
      </c>
      <c r="F17" s="5"/>
      <c r="G17" s="5"/>
    </row>
    <row r="18" spans="5:7" x14ac:dyDescent="0.3">
      <c r="E18" s="17" t="s">
        <v>30</v>
      </c>
      <c r="F18" s="17"/>
      <c r="G18" s="5"/>
    </row>
    <row r="19" spans="5:7" x14ac:dyDescent="0.3">
      <c r="E19" s="5" t="s">
        <v>31</v>
      </c>
      <c r="F19" s="17"/>
      <c r="G19" s="5"/>
    </row>
    <row r="20" spans="5:7" x14ac:dyDescent="0.3">
      <c r="F20" s="22" t="s">
        <v>32</v>
      </c>
      <c r="G20" s="22"/>
    </row>
    <row r="21" spans="5:7" x14ac:dyDescent="0.3">
      <c r="F21" s="56" t="s">
        <v>32</v>
      </c>
      <c r="G21" s="57"/>
    </row>
    <row r="22" spans="5:7" x14ac:dyDescent="0.3">
      <c r="F22" s="25" t="s">
        <v>34</v>
      </c>
      <c r="G22" s="25"/>
    </row>
    <row r="23" spans="5:7" x14ac:dyDescent="0.3">
      <c r="F23" s="25" t="s">
        <v>35</v>
      </c>
      <c r="G23" s="25"/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shapeId="4097" r:id="rId3">
          <objectPr defaultSize="0" autoPict="0" r:id="rId4">
            <anchor moveWithCells="1">
              <from>
                <xdr:col>0</xdr:col>
                <xdr:colOff>45720</xdr:colOff>
                <xdr:row>15</xdr:row>
                <xdr:rowOff>53340</xdr:rowOff>
              </from>
              <to>
                <xdr:col>3</xdr:col>
                <xdr:colOff>83820</xdr:colOff>
                <xdr:row>18</xdr:row>
                <xdr:rowOff>121920</xdr:rowOff>
              </to>
            </anchor>
          </objectPr>
        </oleObject>
      </mc:Choice>
      <mc:Fallback>
        <oleObject shapeId="4097" r:id="rId3"/>
      </mc:Fallback>
    </mc:AlternateContent>
    <mc:AlternateContent xmlns:mc="http://schemas.openxmlformats.org/markup-compatibility/2006">
      <mc:Choice Requires="x14">
        <oleObject shapeId="4098" r:id="rId5">
          <objectPr defaultSize="0" autoPict="0" r:id="rId6">
            <anchor moveWithCells="1">
              <from>
                <xdr:col>0</xdr:col>
                <xdr:colOff>0</xdr:colOff>
                <xdr:row>19</xdr:row>
                <xdr:rowOff>45720</xdr:rowOff>
              </from>
              <to>
                <xdr:col>3</xdr:col>
                <xdr:colOff>617220</xdr:colOff>
                <xdr:row>22</xdr:row>
                <xdr:rowOff>144780</xdr:rowOff>
              </to>
            </anchor>
          </objectPr>
        </oleObject>
      </mc:Choice>
      <mc:Fallback>
        <oleObject shapeId="4098" r:id="rId5"/>
      </mc:Fallback>
    </mc:AlternateContent>
    <mc:AlternateContent xmlns:mc="http://schemas.openxmlformats.org/markup-compatibility/2006">
      <mc:Choice Requires="x14">
        <oleObject shapeId="4099" r:id="rId7">
          <objectPr defaultSize="0" autoPict="0" r:id="rId8">
            <anchor moveWithCells="1">
              <from>
                <xdr:col>0</xdr:col>
                <xdr:colOff>0</xdr:colOff>
                <xdr:row>23</xdr:row>
                <xdr:rowOff>53340</xdr:rowOff>
              </from>
              <to>
                <xdr:col>3</xdr:col>
                <xdr:colOff>15240</xdr:colOff>
                <xdr:row>27</xdr:row>
                <xdr:rowOff>121920</xdr:rowOff>
              </to>
            </anchor>
          </objectPr>
        </oleObject>
      </mc:Choice>
      <mc:Fallback>
        <oleObject shapeId="4099" r:id="rId7"/>
      </mc:Fallback>
    </mc:AlternateContent>
    <mc:AlternateContent xmlns:mc="http://schemas.openxmlformats.org/markup-compatibility/2006">
      <mc:Choice Requires="x14">
        <oleObject shapeId="4100" r:id="rId9">
          <objectPr defaultSize="0" autoPict="0" r:id="rId10">
            <anchor moveWithCells="1">
              <from>
                <xdr:col>3</xdr:col>
                <xdr:colOff>182880</xdr:colOff>
                <xdr:row>23</xdr:row>
                <xdr:rowOff>91440</xdr:rowOff>
              </from>
              <to>
                <xdr:col>7</xdr:col>
                <xdr:colOff>373380</xdr:colOff>
                <xdr:row>28</xdr:row>
                <xdr:rowOff>106680</xdr:rowOff>
              </to>
            </anchor>
          </objectPr>
        </oleObject>
      </mc:Choice>
      <mc:Fallback>
        <oleObject shapeId="4100" r:id="rId9"/>
      </mc:Fallback>
    </mc:AlternateContent>
    <mc:AlternateContent xmlns:mc="http://schemas.openxmlformats.org/markup-compatibility/2006">
      <mc:Choice Requires="x14">
        <oleObject shapeId="4101" r:id="rId11">
          <objectPr defaultSize="0" autoPict="0" r:id="rId12">
            <anchor moveWithCells="1">
              <from>
                <xdr:col>0</xdr:col>
                <xdr:colOff>15240</xdr:colOff>
                <xdr:row>35</xdr:row>
                <xdr:rowOff>129540</xdr:rowOff>
              </from>
              <to>
                <xdr:col>3</xdr:col>
                <xdr:colOff>434340</xdr:colOff>
                <xdr:row>39</xdr:row>
                <xdr:rowOff>15240</xdr:rowOff>
              </to>
            </anchor>
          </objectPr>
        </oleObject>
      </mc:Choice>
      <mc:Fallback>
        <oleObject shapeId="4101" r:id="rId11"/>
      </mc:Fallback>
    </mc:AlternateContent>
    <mc:AlternateContent xmlns:mc="http://schemas.openxmlformats.org/markup-compatibility/2006">
      <mc:Choice Requires="x14">
        <oleObject shapeId="4102" r:id="rId13">
          <objectPr defaultSize="0" autoPict="0" r:id="rId14">
            <anchor moveWithCells="1">
              <from>
                <xdr:col>10</xdr:col>
                <xdr:colOff>579120</xdr:colOff>
                <xdr:row>20</xdr:row>
                <xdr:rowOff>91440</xdr:rowOff>
              </from>
              <to>
                <xdr:col>14</xdr:col>
                <xdr:colOff>15240</xdr:colOff>
                <xdr:row>24</xdr:row>
                <xdr:rowOff>60960</xdr:rowOff>
              </to>
            </anchor>
          </objectPr>
        </oleObject>
      </mc:Choice>
      <mc:Fallback>
        <oleObject shapeId="4102" r:id="rId13"/>
      </mc:Fallback>
    </mc:AlternateContent>
    <mc:AlternateContent xmlns:mc="http://schemas.openxmlformats.org/markup-compatibility/2006">
      <mc:Choice Requires="x14">
        <oleObject shapeId="4103" r:id="rId15">
          <objectPr defaultSize="0" autoPict="0" r:id="rId16">
            <anchor moveWithCells="1">
              <from>
                <xdr:col>7</xdr:col>
                <xdr:colOff>487680</xdr:colOff>
                <xdr:row>20</xdr:row>
                <xdr:rowOff>91440</xdr:rowOff>
              </from>
              <to>
                <xdr:col>10</xdr:col>
                <xdr:colOff>350520</xdr:colOff>
                <xdr:row>25</xdr:row>
                <xdr:rowOff>106680</xdr:rowOff>
              </to>
            </anchor>
          </objectPr>
        </oleObject>
      </mc:Choice>
      <mc:Fallback>
        <oleObject shapeId="4103" r:id="rId15"/>
      </mc:Fallback>
    </mc:AlternateContent>
    <mc:AlternateContent xmlns:mc="http://schemas.openxmlformats.org/markup-compatibility/2006">
      <mc:Choice Requires="x14">
        <oleObject shapeId="4104" r:id="rId17">
          <objectPr defaultSize="0" autoPict="0" r:id="rId18">
            <anchor moveWithCells="1">
              <from>
                <xdr:col>10</xdr:col>
                <xdr:colOff>457200</xdr:colOff>
                <xdr:row>16</xdr:row>
                <xdr:rowOff>60960</xdr:rowOff>
              </from>
              <to>
                <xdr:col>13</xdr:col>
                <xdr:colOff>228600</xdr:colOff>
                <xdr:row>19</xdr:row>
                <xdr:rowOff>129540</xdr:rowOff>
              </to>
            </anchor>
          </objectPr>
        </oleObject>
      </mc:Choice>
      <mc:Fallback>
        <oleObject shapeId="4104" r:id="rId17"/>
      </mc:Fallback>
    </mc:AlternateContent>
    <mc:AlternateContent xmlns:mc="http://schemas.openxmlformats.org/markup-compatibility/2006">
      <mc:Choice Requires="x14">
        <oleObject shapeId="4105" r:id="rId19">
          <objectPr defaultSize="0" autoPict="0" r:id="rId20">
            <anchor moveWithCells="1">
              <from>
                <xdr:col>7</xdr:col>
                <xdr:colOff>365760</xdr:colOff>
                <xdr:row>16</xdr:row>
                <xdr:rowOff>38100</xdr:rowOff>
              </from>
              <to>
                <xdr:col>10</xdr:col>
                <xdr:colOff>251460</xdr:colOff>
                <xdr:row>18</xdr:row>
                <xdr:rowOff>106680</xdr:rowOff>
              </to>
            </anchor>
          </objectPr>
        </oleObject>
      </mc:Choice>
      <mc:Fallback>
        <oleObject shapeId="4105" r:id="rId19"/>
      </mc:Fallback>
    </mc:AlternateContent>
    <mc:AlternateContent xmlns:mc="http://schemas.openxmlformats.org/markup-compatibility/2006">
      <mc:Choice Requires="x14">
        <oleObject shapeId="4106" r:id="rId21">
          <objectPr defaultSize="0" autoPict="0" r:id="rId14">
            <anchor moveWithCells="1">
              <from>
                <xdr:col>16</xdr:col>
                <xdr:colOff>7620</xdr:colOff>
                <xdr:row>2</xdr:row>
                <xdr:rowOff>175260</xdr:rowOff>
              </from>
              <to>
                <xdr:col>20</xdr:col>
                <xdr:colOff>76200</xdr:colOff>
                <xdr:row>7</xdr:row>
                <xdr:rowOff>144780</xdr:rowOff>
              </to>
            </anchor>
          </objectPr>
        </oleObject>
      </mc:Choice>
      <mc:Fallback>
        <oleObject shapeId="4106" r:id="rId21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EA6-E89A-4E6F-8CFC-6CFA436DFEC9}">
  <dimension ref="A1:E20"/>
  <sheetViews>
    <sheetView workbookViewId="0">
      <selection activeCell="M20" sqref="M20"/>
    </sheetView>
  </sheetViews>
  <sheetFormatPr defaultRowHeight="14.4" x14ac:dyDescent="0.3"/>
  <cols>
    <col min="1" max="1" width="36.109375" customWidth="1"/>
  </cols>
  <sheetData>
    <row r="1" spans="1:5" x14ac:dyDescent="0.3">
      <c r="A1" s="4" t="s">
        <v>76</v>
      </c>
      <c r="B1" s="7" t="s">
        <v>77</v>
      </c>
      <c r="C1" s="7" t="s">
        <v>78</v>
      </c>
      <c r="D1" s="7" t="s">
        <v>79</v>
      </c>
      <c r="E1" s="7" t="s">
        <v>80</v>
      </c>
    </row>
    <row r="2" spans="1:5" x14ac:dyDescent="0.3">
      <c r="A2" s="33" t="s">
        <v>124</v>
      </c>
      <c r="B2" s="34" t="s">
        <v>81</v>
      </c>
      <c r="C2" s="7" t="s">
        <v>82</v>
      </c>
      <c r="D2" s="7" t="s">
        <v>83</v>
      </c>
      <c r="E2" s="35" t="s">
        <v>84</v>
      </c>
    </row>
    <row r="3" spans="1:5" x14ac:dyDescent="0.3">
      <c r="A3" s="33" t="s">
        <v>125</v>
      </c>
      <c r="B3" s="34" t="s">
        <v>85</v>
      </c>
      <c r="C3" s="7" t="s">
        <v>82</v>
      </c>
      <c r="D3" s="7" t="s">
        <v>86</v>
      </c>
      <c r="E3" s="35" t="s">
        <v>117</v>
      </c>
    </row>
    <row r="4" spans="1:5" x14ac:dyDescent="0.3">
      <c r="A4" s="33" t="s">
        <v>126</v>
      </c>
      <c r="B4" s="34" t="s">
        <v>87</v>
      </c>
      <c r="C4" s="7" t="s">
        <v>82</v>
      </c>
      <c r="D4" s="7" t="s">
        <v>88</v>
      </c>
      <c r="E4" s="35" t="s">
        <v>89</v>
      </c>
    </row>
    <row r="5" spans="1:5" x14ac:dyDescent="0.3">
      <c r="A5" s="33" t="s">
        <v>127</v>
      </c>
      <c r="B5" s="34" t="s">
        <v>90</v>
      </c>
      <c r="C5" s="7" t="s">
        <v>82</v>
      </c>
      <c r="D5" s="7" t="s">
        <v>91</v>
      </c>
      <c r="E5" s="35" t="s">
        <v>92</v>
      </c>
    </row>
    <row r="6" spans="1:5" x14ac:dyDescent="0.3">
      <c r="A6" s="33" t="s">
        <v>128</v>
      </c>
      <c r="B6" s="34" t="s">
        <v>93</v>
      </c>
      <c r="C6" s="7" t="s">
        <v>82</v>
      </c>
      <c r="D6" s="7" t="s">
        <v>83</v>
      </c>
      <c r="E6" s="35" t="s">
        <v>94</v>
      </c>
    </row>
    <row r="7" spans="1:5" x14ac:dyDescent="0.3">
      <c r="A7" s="33" t="s">
        <v>129</v>
      </c>
      <c r="B7" s="34" t="s">
        <v>95</v>
      </c>
      <c r="C7" s="7" t="s">
        <v>82</v>
      </c>
      <c r="D7" s="7" t="s">
        <v>91</v>
      </c>
      <c r="E7" s="35" t="s">
        <v>96</v>
      </c>
    </row>
    <row r="8" spans="1:5" x14ac:dyDescent="0.3">
      <c r="A8" s="33" t="s">
        <v>130</v>
      </c>
      <c r="B8" s="34" t="s">
        <v>97</v>
      </c>
      <c r="C8" s="7" t="s">
        <v>98</v>
      </c>
      <c r="D8" s="7" t="s">
        <v>86</v>
      </c>
      <c r="E8" s="35" t="s">
        <v>99</v>
      </c>
    </row>
    <row r="9" spans="1:5" x14ac:dyDescent="0.3">
      <c r="A9" s="33" t="s">
        <v>131</v>
      </c>
      <c r="B9" s="34" t="s">
        <v>100</v>
      </c>
      <c r="C9" s="7" t="s">
        <v>82</v>
      </c>
      <c r="D9" s="7" t="s">
        <v>88</v>
      </c>
      <c r="E9" s="35" t="s">
        <v>101</v>
      </c>
    </row>
    <row r="10" spans="1:5" x14ac:dyDescent="0.3">
      <c r="A10" s="33" t="s">
        <v>132</v>
      </c>
      <c r="B10" s="34" t="s">
        <v>102</v>
      </c>
      <c r="C10" s="7" t="s">
        <v>98</v>
      </c>
      <c r="D10" s="7" t="s">
        <v>83</v>
      </c>
      <c r="E10" s="35" t="s">
        <v>118</v>
      </c>
    </row>
    <row r="11" spans="1:5" x14ac:dyDescent="0.3">
      <c r="A11" s="33" t="s">
        <v>133</v>
      </c>
      <c r="B11" s="34" t="s">
        <v>103</v>
      </c>
      <c r="C11" s="7" t="s">
        <v>82</v>
      </c>
      <c r="D11" s="7" t="s">
        <v>86</v>
      </c>
      <c r="E11" s="35" t="s">
        <v>104</v>
      </c>
    </row>
    <row r="12" spans="1:5" x14ac:dyDescent="0.3">
      <c r="A12" s="33" t="s">
        <v>134</v>
      </c>
      <c r="B12" s="34" t="s">
        <v>105</v>
      </c>
      <c r="C12" s="7" t="s">
        <v>82</v>
      </c>
      <c r="D12" s="7" t="s">
        <v>83</v>
      </c>
      <c r="E12" s="35" t="s">
        <v>106</v>
      </c>
    </row>
    <row r="13" spans="1:5" x14ac:dyDescent="0.3">
      <c r="A13" s="33" t="s">
        <v>135</v>
      </c>
      <c r="B13" s="34" t="s">
        <v>107</v>
      </c>
      <c r="C13" s="7" t="s">
        <v>82</v>
      </c>
      <c r="D13" s="7" t="s">
        <v>91</v>
      </c>
      <c r="E13" s="35" t="s">
        <v>108</v>
      </c>
    </row>
    <row r="14" spans="1:5" x14ac:dyDescent="0.3">
      <c r="A14" s="33" t="s">
        <v>136</v>
      </c>
      <c r="B14" s="34" t="s">
        <v>109</v>
      </c>
      <c r="C14" s="7" t="s">
        <v>82</v>
      </c>
      <c r="D14" s="7" t="s">
        <v>88</v>
      </c>
      <c r="E14" s="35" t="s">
        <v>110</v>
      </c>
    </row>
    <row r="15" spans="1:5" x14ac:dyDescent="0.3">
      <c r="A15" s="33" t="s">
        <v>137</v>
      </c>
      <c r="B15" s="34" t="s">
        <v>111</v>
      </c>
      <c r="C15" s="7" t="s">
        <v>82</v>
      </c>
      <c r="D15" s="7" t="s">
        <v>86</v>
      </c>
      <c r="E15" s="35" t="s">
        <v>112</v>
      </c>
    </row>
    <row r="16" spans="1:5" x14ac:dyDescent="0.3">
      <c r="A16" s="33" t="s">
        <v>138</v>
      </c>
      <c r="B16" s="34" t="s">
        <v>113</v>
      </c>
      <c r="C16" s="7" t="s">
        <v>82</v>
      </c>
      <c r="D16" s="7" t="s">
        <v>83</v>
      </c>
      <c r="E16" s="35" t="s">
        <v>114</v>
      </c>
    </row>
    <row r="17" spans="1:5" x14ac:dyDescent="0.3">
      <c r="A17" s="33" t="s">
        <v>139</v>
      </c>
      <c r="B17" s="34" t="s">
        <v>115</v>
      </c>
      <c r="C17" s="7" t="s">
        <v>98</v>
      </c>
      <c r="D17" s="7" t="s">
        <v>91</v>
      </c>
      <c r="E17" s="35" t="s">
        <v>119</v>
      </c>
    </row>
    <row r="18" spans="1:5" x14ac:dyDescent="0.3">
      <c r="A18" s="33" t="s">
        <v>140</v>
      </c>
      <c r="B18" s="34" t="s">
        <v>116</v>
      </c>
      <c r="C18" s="7" t="s">
        <v>82</v>
      </c>
      <c r="D18" s="7" t="s">
        <v>86</v>
      </c>
      <c r="E18" s="35" t="s">
        <v>121</v>
      </c>
    </row>
    <row r="19" spans="1:5" x14ac:dyDescent="0.3">
      <c r="A19" s="33" t="s">
        <v>141</v>
      </c>
      <c r="B19" s="34" t="s">
        <v>123</v>
      </c>
      <c r="C19" s="7" t="s">
        <v>82</v>
      </c>
      <c r="D19" s="7" t="s">
        <v>88</v>
      </c>
      <c r="E19" s="35" t="s">
        <v>114</v>
      </c>
    </row>
    <row r="20" spans="1:5" x14ac:dyDescent="0.3">
      <c r="A20" s="33" t="s">
        <v>142</v>
      </c>
      <c r="B20" s="36" t="s">
        <v>120</v>
      </c>
      <c r="C20" s="7" t="s">
        <v>82</v>
      </c>
      <c r="D20" s="7" t="s">
        <v>86</v>
      </c>
      <c r="E20" s="35" t="s">
        <v>122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16EA-21CB-47BB-A649-5EC678427EA7}">
  <dimension ref="A1:G20"/>
  <sheetViews>
    <sheetView zoomScale="170" zoomScaleNormal="170" workbookViewId="0">
      <selection activeCell="B3" sqref="B3"/>
    </sheetView>
  </sheetViews>
  <sheetFormatPr defaultRowHeight="14.4" x14ac:dyDescent="0.3"/>
  <sheetData>
    <row r="1" spans="1:7" x14ac:dyDescent="0.3">
      <c r="A1" t="s">
        <v>221</v>
      </c>
      <c r="B1" t="s">
        <v>222</v>
      </c>
    </row>
    <row r="2" spans="1:7" x14ac:dyDescent="0.3">
      <c r="A2" t="e">
        <f ca="1">D5DISTR.BINOM(0,5,0.5,1)</f>
        <v>#NAME?</v>
      </c>
      <c r="B2" s="82" t="e">
        <f>POISSON!B6=_xlfn.POISSON.DIST(#REF!,4,0)</f>
        <v>#REF!</v>
      </c>
    </row>
    <row r="5" spans="1:7" x14ac:dyDescent="0.3">
      <c r="C5" s="7" t="s">
        <v>218</v>
      </c>
      <c r="D5" s="7" t="s">
        <v>223</v>
      </c>
      <c r="E5" s="7" t="s">
        <v>224</v>
      </c>
      <c r="F5" s="7" t="s">
        <v>225</v>
      </c>
      <c r="G5" s="7" t="s">
        <v>226</v>
      </c>
    </row>
    <row r="6" spans="1:7" x14ac:dyDescent="0.3">
      <c r="A6">
        <v>0</v>
      </c>
      <c r="B6" s="83">
        <f>_xlfn.BINOM.DIST(A6,5,0.5,0)</f>
        <v>3.125E-2</v>
      </c>
      <c r="C6" s="7">
        <v>0</v>
      </c>
      <c r="D6" s="7">
        <f>COMBIN(5,C6)</f>
        <v>1</v>
      </c>
      <c r="E6" s="7">
        <f>0.5^C6</f>
        <v>1</v>
      </c>
      <c r="F6" s="7">
        <f>0.5^(5-C6)</f>
        <v>3.125E-2</v>
      </c>
      <c r="G6" s="45">
        <f>D6*E6*F6</f>
        <v>3.125E-2</v>
      </c>
    </row>
    <row r="7" spans="1:7" x14ac:dyDescent="0.3">
      <c r="A7">
        <v>1</v>
      </c>
      <c r="B7" s="83">
        <f t="shared" ref="B7:B11" si="0">_xlfn.BINOM.DIST(A7,5,0.5,0)</f>
        <v>0.15624999999999992</v>
      </c>
      <c r="C7" s="7">
        <v>1</v>
      </c>
      <c r="D7" s="7">
        <f t="shared" ref="D7:D11" si="1">COMBIN(5,C7)</f>
        <v>5</v>
      </c>
      <c r="E7" s="7">
        <f t="shared" ref="E7:E11" si="2">0.5^C7</f>
        <v>0.5</v>
      </c>
      <c r="F7" s="7">
        <f t="shared" ref="F7:F11" si="3">0.5^(5-C7)</f>
        <v>6.25E-2</v>
      </c>
      <c r="G7" s="45">
        <f t="shared" ref="G7:G11" si="4">D7*E7*F7</f>
        <v>0.15625</v>
      </c>
    </row>
    <row r="8" spans="1:7" x14ac:dyDescent="0.3">
      <c r="A8">
        <v>2</v>
      </c>
      <c r="B8" s="83">
        <f t="shared" si="0"/>
        <v>0.3125</v>
      </c>
      <c r="C8" s="7">
        <v>2</v>
      </c>
      <c r="D8" s="7">
        <f t="shared" si="1"/>
        <v>10</v>
      </c>
      <c r="E8" s="7">
        <f t="shared" si="2"/>
        <v>0.25</v>
      </c>
      <c r="F8" s="7">
        <f t="shared" si="3"/>
        <v>0.125</v>
      </c>
      <c r="G8" s="45">
        <f t="shared" si="4"/>
        <v>0.3125</v>
      </c>
    </row>
    <row r="9" spans="1:7" x14ac:dyDescent="0.3">
      <c r="A9">
        <v>3</v>
      </c>
      <c r="B9" s="83">
        <f t="shared" si="0"/>
        <v>0.3125</v>
      </c>
      <c r="C9" s="7">
        <v>3</v>
      </c>
      <c r="D9" s="7">
        <f t="shared" si="1"/>
        <v>10</v>
      </c>
      <c r="E9" s="7">
        <f t="shared" si="2"/>
        <v>0.125</v>
      </c>
      <c r="F9" s="7">
        <f t="shared" si="3"/>
        <v>0.25</v>
      </c>
      <c r="G9" s="45">
        <f t="shared" si="4"/>
        <v>0.3125</v>
      </c>
    </row>
    <row r="10" spans="1:7" x14ac:dyDescent="0.3">
      <c r="A10">
        <v>4</v>
      </c>
      <c r="B10" s="83">
        <f t="shared" si="0"/>
        <v>0.15624999999999992</v>
      </c>
      <c r="C10" s="7">
        <v>4</v>
      </c>
      <c r="D10" s="7">
        <f t="shared" si="1"/>
        <v>5</v>
      </c>
      <c r="E10" s="7">
        <f t="shared" si="2"/>
        <v>6.25E-2</v>
      </c>
      <c r="F10" s="7">
        <f t="shared" si="3"/>
        <v>0.5</v>
      </c>
      <c r="G10" s="45">
        <f t="shared" si="4"/>
        <v>0.15625</v>
      </c>
    </row>
    <row r="11" spans="1:7" x14ac:dyDescent="0.3">
      <c r="A11">
        <v>5</v>
      </c>
      <c r="B11" s="83">
        <f t="shared" si="0"/>
        <v>3.125E-2</v>
      </c>
      <c r="C11" s="7">
        <v>5</v>
      </c>
      <c r="D11" s="7">
        <f t="shared" si="1"/>
        <v>1</v>
      </c>
      <c r="E11" s="7">
        <f t="shared" si="2"/>
        <v>3.125E-2</v>
      </c>
      <c r="F11" s="7">
        <f t="shared" si="3"/>
        <v>1</v>
      </c>
      <c r="G11" s="45">
        <f t="shared" si="4"/>
        <v>3.125E-2</v>
      </c>
    </row>
    <row r="14" spans="1:7" x14ac:dyDescent="0.3">
      <c r="C14" s="7" t="s">
        <v>218</v>
      </c>
      <c r="D14" s="7" t="s">
        <v>223</v>
      </c>
      <c r="E14" s="7" t="s">
        <v>224</v>
      </c>
      <c r="F14" s="7" t="s">
        <v>225</v>
      </c>
      <c r="G14" s="7" t="s">
        <v>226</v>
      </c>
    </row>
    <row r="15" spans="1:7" x14ac:dyDescent="0.3">
      <c r="A15">
        <v>0</v>
      </c>
      <c r="B15" s="83">
        <f>_xlfn.BINOM.DIST(A15,5,0.1,0)</f>
        <v>0.59048999999999996</v>
      </c>
      <c r="C15" s="7">
        <v>0</v>
      </c>
      <c r="D15" s="7">
        <f>COMBIN(5,C15)</f>
        <v>1</v>
      </c>
      <c r="E15" s="7">
        <f>0.1^C15</f>
        <v>1</v>
      </c>
      <c r="F15" s="7">
        <f>0.9^(5-C15)</f>
        <v>0.59049000000000018</v>
      </c>
      <c r="G15" s="45">
        <f>D15*E15*F15</f>
        <v>0.59049000000000018</v>
      </c>
    </row>
    <row r="16" spans="1:7" x14ac:dyDescent="0.3">
      <c r="A16">
        <v>1</v>
      </c>
      <c r="B16" s="83">
        <f t="shared" ref="B16:B20" si="5">_xlfn.BINOM.DIST(A16,5,0.1,0)</f>
        <v>0.32805000000000001</v>
      </c>
      <c r="C16" s="7">
        <v>1</v>
      </c>
      <c r="D16" s="7">
        <f t="shared" ref="D16:D20" si="6">COMBIN(5,C16)</f>
        <v>5</v>
      </c>
      <c r="E16" s="7">
        <f t="shared" ref="E16:E20" si="7">0.1^C16</f>
        <v>0.1</v>
      </c>
      <c r="F16" s="7">
        <f t="shared" ref="F16:F20" si="8">0.9^(5-C16)</f>
        <v>0.65610000000000013</v>
      </c>
      <c r="G16" s="45">
        <f t="shared" ref="G16:G20" si="9">D16*E16*F16</f>
        <v>0.32805000000000006</v>
      </c>
    </row>
    <row r="17" spans="1:7" x14ac:dyDescent="0.3">
      <c r="A17">
        <v>2</v>
      </c>
      <c r="B17" s="83">
        <f t="shared" si="5"/>
        <v>7.2899999999999979E-2</v>
      </c>
      <c r="C17" s="7">
        <v>2</v>
      </c>
      <c r="D17" s="7">
        <f t="shared" si="6"/>
        <v>10</v>
      </c>
      <c r="E17" s="7">
        <f t="shared" si="7"/>
        <v>1.0000000000000002E-2</v>
      </c>
      <c r="F17" s="7">
        <f t="shared" si="8"/>
        <v>0.72900000000000009</v>
      </c>
      <c r="G17" s="45">
        <f t="shared" si="9"/>
        <v>7.290000000000002E-2</v>
      </c>
    </row>
    <row r="18" spans="1:7" x14ac:dyDescent="0.3">
      <c r="A18">
        <v>3</v>
      </c>
      <c r="B18" s="83">
        <f t="shared" si="5"/>
        <v>8.0999999999999961E-3</v>
      </c>
      <c r="C18" s="7">
        <v>3</v>
      </c>
      <c r="D18" s="7">
        <f t="shared" si="6"/>
        <v>10</v>
      </c>
      <c r="E18" s="7">
        <f t="shared" si="7"/>
        <v>1.0000000000000002E-3</v>
      </c>
      <c r="F18" s="7">
        <f t="shared" si="8"/>
        <v>0.81</v>
      </c>
      <c r="G18" s="45">
        <f t="shared" si="9"/>
        <v>8.1000000000000013E-3</v>
      </c>
    </row>
    <row r="19" spans="1:7" x14ac:dyDescent="0.3">
      <c r="A19">
        <v>4</v>
      </c>
      <c r="B19" s="83">
        <f t="shared" si="5"/>
        <v>4.5000000000000064E-4</v>
      </c>
      <c r="C19" s="7">
        <v>4</v>
      </c>
      <c r="D19" s="7">
        <f t="shared" si="6"/>
        <v>5</v>
      </c>
      <c r="E19" s="7">
        <f t="shared" si="7"/>
        <v>1.0000000000000005E-4</v>
      </c>
      <c r="F19" s="7">
        <f t="shared" si="8"/>
        <v>0.9</v>
      </c>
      <c r="G19" s="45">
        <f t="shared" si="9"/>
        <v>4.500000000000002E-4</v>
      </c>
    </row>
    <row r="20" spans="1:7" x14ac:dyDescent="0.3">
      <c r="A20">
        <v>5</v>
      </c>
      <c r="B20" s="83">
        <f t="shared" si="5"/>
        <v>1.0000000000000016E-5</v>
      </c>
      <c r="C20" s="7">
        <v>5</v>
      </c>
      <c r="D20" s="7">
        <f t="shared" si="6"/>
        <v>1</v>
      </c>
      <c r="E20" s="7">
        <f t="shared" si="7"/>
        <v>1.0000000000000006E-5</v>
      </c>
      <c r="F20" s="7">
        <f t="shared" si="8"/>
        <v>1</v>
      </c>
      <c r="G20" s="45">
        <f t="shared" si="9"/>
        <v>1.0000000000000006E-5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8D4A-7668-4826-8414-A76FFAD08772}">
  <dimension ref="A5:H80"/>
  <sheetViews>
    <sheetView tabSelected="1" topLeftCell="A22" zoomScale="140" zoomScaleNormal="140" workbookViewId="0">
      <selection activeCell="N30" sqref="N30"/>
    </sheetView>
  </sheetViews>
  <sheetFormatPr defaultRowHeight="14.4" x14ac:dyDescent="0.3"/>
  <sheetData>
    <row r="5" spans="2:8" x14ac:dyDescent="0.3">
      <c r="B5" t="s">
        <v>227</v>
      </c>
    </row>
    <row r="6" spans="2:8" x14ac:dyDescent="0.3">
      <c r="B6" s="83">
        <f>_xlfn.POISSON.DIST(C6,1,0)</f>
        <v>0.36787944117144233</v>
      </c>
      <c r="C6">
        <v>0</v>
      </c>
      <c r="D6">
        <f>EXP(-1)</f>
        <v>0.36787944117144233</v>
      </c>
      <c r="E6">
        <f>1^C6</f>
        <v>1</v>
      </c>
      <c r="F6">
        <f>FACT(C6)</f>
        <v>1</v>
      </c>
      <c r="G6" s="83">
        <f>D6*E6/F6</f>
        <v>0.36787944117144233</v>
      </c>
      <c r="H6" s="55">
        <f>G6+G7+G8+G9</f>
        <v>0.98101184312384626</v>
      </c>
    </row>
    <row r="7" spans="2:8" x14ac:dyDescent="0.3">
      <c r="B7" s="83">
        <f t="shared" ref="B7:B21" si="0">_xlfn.POISSON.DIST(C7,1,0)</f>
        <v>0.36787944117144233</v>
      </c>
      <c r="C7">
        <v>1</v>
      </c>
      <c r="D7">
        <f t="shared" ref="D7:D21" si="1">EXP(-1)</f>
        <v>0.36787944117144233</v>
      </c>
      <c r="E7">
        <f t="shared" ref="E7:E21" si="2">1^C7</f>
        <v>1</v>
      </c>
      <c r="F7">
        <f t="shared" ref="F7:F21" si="3">FACT(C7)</f>
        <v>1</v>
      </c>
      <c r="G7" s="83">
        <f t="shared" ref="G7:G21" si="4">D7*E7/F7</f>
        <v>0.36787944117144233</v>
      </c>
    </row>
    <row r="8" spans="2:8" x14ac:dyDescent="0.3">
      <c r="B8" s="83">
        <f t="shared" si="0"/>
        <v>0.18393972058572114</v>
      </c>
      <c r="C8">
        <v>2</v>
      </c>
      <c r="D8">
        <f t="shared" si="1"/>
        <v>0.36787944117144233</v>
      </c>
      <c r="E8">
        <f t="shared" si="2"/>
        <v>1</v>
      </c>
      <c r="F8">
        <f t="shared" si="3"/>
        <v>2</v>
      </c>
      <c r="G8" s="83">
        <f t="shared" si="4"/>
        <v>0.18393972058572117</v>
      </c>
    </row>
    <row r="9" spans="2:8" x14ac:dyDescent="0.3">
      <c r="B9" s="83">
        <f t="shared" si="0"/>
        <v>6.1313240195240391E-2</v>
      </c>
      <c r="C9">
        <v>3</v>
      </c>
      <c r="D9">
        <f t="shared" si="1"/>
        <v>0.36787944117144233</v>
      </c>
      <c r="E9">
        <f t="shared" si="2"/>
        <v>1</v>
      </c>
      <c r="F9">
        <f t="shared" si="3"/>
        <v>6</v>
      </c>
      <c r="G9" s="83">
        <f t="shared" si="4"/>
        <v>6.1313240195240391E-2</v>
      </c>
    </row>
    <row r="10" spans="2:8" x14ac:dyDescent="0.3">
      <c r="B10" s="83">
        <f t="shared" si="0"/>
        <v>1.5328310048810094E-2</v>
      </c>
      <c r="C10">
        <v>4</v>
      </c>
      <c r="D10">
        <f t="shared" si="1"/>
        <v>0.36787944117144233</v>
      </c>
      <c r="E10">
        <f t="shared" si="2"/>
        <v>1</v>
      </c>
      <c r="F10">
        <f t="shared" si="3"/>
        <v>24</v>
      </c>
      <c r="G10" s="83">
        <f t="shared" si="4"/>
        <v>1.5328310048810098E-2</v>
      </c>
    </row>
    <row r="11" spans="2:8" x14ac:dyDescent="0.3">
      <c r="B11" s="83">
        <f t="shared" si="0"/>
        <v>3.06566200976202E-3</v>
      </c>
      <c r="C11">
        <v>5</v>
      </c>
      <c r="D11">
        <f t="shared" si="1"/>
        <v>0.36787944117144233</v>
      </c>
      <c r="E11">
        <f t="shared" si="2"/>
        <v>1</v>
      </c>
      <c r="F11">
        <f t="shared" si="3"/>
        <v>120</v>
      </c>
      <c r="G11" s="83">
        <f t="shared" si="4"/>
        <v>3.0656620097620196E-3</v>
      </c>
    </row>
    <row r="12" spans="2:8" x14ac:dyDescent="0.3">
      <c r="B12" s="83">
        <f t="shared" si="0"/>
        <v>5.1094366829366978E-4</v>
      </c>
      <c r="C12">
        <v>6</v>
      </c>
      <c r="D12">
        <f t="shared" si="1"/>
        <v>0.36787944117144233</v>
      </c>
      <c r="E12">
        <f t="shared" si="2"/>
        <v>1</v>
      </c>
      <c r="F12">
        <f t="shared" si="3"/>
        <v>720</v>
      </c>
      <c r="G12" s="83">
        <f t="shared" si="4"/>
        <v>5.1094366829366989E-4</v>
      </c>
    </row>
    <row r="13" spans="2:8" x14ac:dyDescent="0.3">
      <c r="B13" s="83">
        <f t="shared" si="0"/>
        <v>7.2991952613381521E-5</v>
      </c>
      <c r="C13">
        <v>7</v>
      </c>
      <c r="D13">
        <f t="shared" si="1"/>
        <v>0.36787944117144233</v>
      </c>
      <c r="E13">
        <f t="shared" si="2"/>
        <v>1</v>
      </c>
      <c r="F13">
        <f t="shared" si="3"/>
        <v>5040</v>
      </c>
      <c r="G13" s="83">
        <f t="shared" si="4"/>
        <v>7.2991952613381413E-5</v>
      </c>
    </row>
    <row r="14" spans="2:8" x14ac:dyDescent="0.3">
      <c r="B14" s="83">
        <f t="shared" si="0"/>
        <v>9.1239940766726546E-6</v>
      </c>
      <c r="C14">
        <v>8</v>
      </c>
      <c r="D14">
        <f t="shared" si="1"/>
        <v>0.36787944117144233</v>
      </c>
      <c r="E14">
        <f t="shared" si="2"/>
        <v>1</v>
      </c>
      <c r="F14">
        <f t="shared" si="3"/>
        <v>40320</v>
      </c>
      <c r="G14" s="83">
        <f t="shared" si="4"/>
        <v>9.1239940766726766E-6</v>
      </c>
    </row>
    <row r="15" spans="2:8" x14ac:dyDescent="0.3">
      <c r="B15" s="83">
        <f t="shared" si="0"/>
        <v>1.0137771196302961E-6</v>
      </c>
      <c r="C15">
        <v>9</v>
      </c>
      <c r="D15">
        <f t="shared" si="1"/>
        <v>0.36787944117144233</v>
      </c>
      <c r="E15">
        <f t="shared" si="2"/>
        <v>1</v>
      </c>
      <c r="F15">
        <f t="shared" si="3"/>
        <v>362880</v>
      </c>
      <c r="G15" s="83">
        <f t="shared" si="4"/>
        <v>1.0137771196302974E-6</v>
      </c>
    </row>
    <row r="16" spans="2:8" x14ac:dyDescent="0.3">
      <c r="B16" s="83">
        <f t="shared" si="0"/>
        <v>1.013777119630295E-7</v>
      </c>
      <c r="C16">
        <v>10</v>
      </c>
      <c r="D16">
        <f t="shared" si="1"/>
        <v>0.36787944117144233</v>
      </c>
      <c r="E16">
        <f t="shared" si="2"/>
        <v>1</v>
      </c>
      <c r="F16">
        <f t="shared" si="3"/>
        <v>3628800</v>
      </c>
      <c r="G16" s="83">
        <f t="shared" si="4"/>
        <v>1.0137771196302975E-7</v>
      </c>
    </row>
    <row r="17" spans="1:7" x14ac:dyDescent="0.3">
      <c r="B17" s="83">
        <f t="shared" si="0"/>
        <v>9.2161556330026647E-9</v>
      </c>
      <c r="C17">
        <v>11</v>
      </c>
      <c r="D17">
        <f t="shared" si="1"/>
        <v>0.36787944117144233</v>
      </c>
      <c r="E17">
        <f t="shared" si="2"/>
        <v>1</v>
      </c>
      <c r="F17">
        <f t="shared" si="3"/>
        <v>39916800</v>
      </c>
      <c r="G17" s="83">
        <f t="shared" si="4"/>
        <v>9.2161556330027044E-9</v>
      </c>
    </row>
    <row r="18" spans="1:7" x14ac:dyDescent="0.3">
      <c r="B18" s="83">
        <f t="shared" si="0"/>
        <v>7.680129694168931E-10</v>
      </c>
      <c r="C18">
        <v>12</v>
      </c>
      <c r="D18">
        <f t="shared" si="1"/>
        <v>0.36787944117144233</v>
      </c>
      <c r="E18">
        <f t="shared" si="2"/>
        <v>1</v>
      </c>
      <c r="F18">
        <f t="shared" si="3"/>
        <v>479001600</v>
      </c>
      <c r="G18" s="83">
        <f t="shared" si="4"/>
        <v>7.6801296941689197E-10</v>
      </c>
    </row>
    <row r="19" spans="1:7" x14ac:dyDescent="0.3">
      <c r="B19" s="83">
        <f t="shared" si="0"/>
        <v>5.9077920724376414E-11</v>
      </c>
      <c r="C19">
        <v>13</v>
      </c>
      <c r="D19">
        <f t="shared" si="1"/>
        <v>0.36787944117144233</v>
      </c>
      <c r="E19">
        <f t="shared" si="2"/>
        <v>1</v>
      </c>
      <c r="F19">
        <f t="shared" si="3"/>
        <v>6227020800</v>
      </c>
      <c r="G19" s="83">
        <f t="shared" si="4"/>
        <v>5.9077920724376311E-11</v>
      </c>
    </row>
    <row r="20" spans="1:7" x14ac:dyDescent="0.3">
      <c r="B20" s="83">
        <f t="shared" si="0"/>
        <v>4.2198514803125853E-12</v>
      </c>
      <c r="C20">
        <v>14</v>
      </c>
      <c r="D20">
        <f t="shared" si="1"/>
        <v>0.36787944117144233</v>
      </c>
      <c r="E20">
        <f t="shared" si="2"/>
        <v>1</v>
      </c>
      <c r="F20">
        <f t="shared" si="3"/>
        <v>87178291200</v>
      </c>
      <c r="G20" s="83">
        <f t="shared" si="4"/>
        <v>4.2198514803125934E-12</v>
      </c>
    </row>
    <row r="21" spans="1:7" x14ac:dyDescent="0.3">
      <c r="B21" s="83">
        <f t="shared" si="0"/>
        <v>2.813234320208389E-13</v>
      </c>
      <c r="C21">
        <v>15</v>
      </c>
      <c r="D21">
        <f t="shared" si="1"/>
        <v>0.36787944117144233</v>
      </c>
      <c r="E21">
        <f t="shared" si="2"/>
        <v>1</v>
      </c>
      <c r="F21">
        <f t="shared" si="3"/>
        <v>1307674368000</v>
      </c>
      <c r="G21" s="83">
        <f t="shared" si="4"/>
        <v>2.8132343202083955E-13</v>
      </c>
    </row>
    <row r="23" spans="1:7" x14ac:dyDescent="0.3">
      <c r="C23" t="s">
        <v>228</v>
      </c>
    </row>
    <row r="24" spans="1:7" x14ac:dyDescent="0.3">
      <c r="B24" t="s">
        <v>227</v>
      </c>
    </row>
    <row r="25" spans="1:7" x14ac:dyDescent="0.3">
      <c r="A25">
        <v>0</v>
      </c>
      <c r="B25" s="83">
        <f>_xlfn.POISSON.DIST(A25,$C$25,0)</f>
        <v>1.8315638888734179E-2</v>
      </c>
      <c r="C25">
        <v>4</v>
      </c>
    </row>
    <row r="26" spans="1:7" x14ac:dyDescent="0.3">
      <c r="A26">
        <v>1</v>
      </c>
      <c r="B26" s="83">
        <f t="shared" ref="B26:B41" si="5">_xlfn.POISSON.DIST(A26,$C$25,0)</f>
        <v>7.3262555554936715E-2</v>
      </c>
    </row>
    <row r="27" spans="1:7" x14ac:dyDescent="0.3">
      <c r="A27">
        <v>2</v>
      </c>
      <c r="B27" s="83">
        <f t="shared" si="5"/>
        <v>0.14652511110987346</v>
      </c>
    </row>
    <row r="28" spans="1:7" x14ac:dyDescent="0.3">
      <c r="A28">
        <v>3</v>
      </c>
      <c r="B28" s="83">
        <f t="shared" si="5"/>
        <v>0.19536681481316462</v>
      </c>
    </row>
    <row r="29" spans="1:7" x14ac:dyDescent="0.3">
      <c r="A29">
        <v>4</v>
      </c>
      <c r="B29" s="83">
        <f t="shared" si="5"/>
        <v>0.19536681481316462</v>
      </c>
    </row>
    <row r="30" spans="1:7" x14ac:dyDescent="0.3">
      <c r="A30">
        <v>5</v>
      </c>
      <c r="B30" s="83">
        <f t="shared" si="5"/>
        <v>0.1562934518505317</v>
      </c>
    </row>
    <row r="31" spans="1:7" x14ac:dyDescent="0.3">
      <c r="A31">
        <v>6</v>
      </c>
      <c r="B31" s="83">
        <f t="shared" si="5"/>
        <v>0.10419563456702115</v>
      </c>
    </row>
    <row r="32" spans="1:7" x14ac:dyDescent="0.3">
      <c r="A32">
        <v>7</v>
      </c>
      <c r="B32" s="83">
        <f t="shared" si="5"/>
        <v>5.9540362609726373E-2</v>
      </c>
    </row>
    <row r="33" spans="1:2" x14ac:dyDescent="0.3">
      <c r="A33">
        <v>8</v>
      </c>
      <c r="B33" s="83">
        <f t="shared" si="5"/>
        <v>2.9770181304863183E-2</v>
      </c>
    </row>
    <row r="34" spans="1:2" x14ac:dyDescent="0.3">
      <c r="A34">
        <v>9</v>
      </c>
      <c r="B34" s="83">
        <f t="shared" si="5"/>
        <v>1.3231191691050297E-2</v>
      </c>
    </row>
    <row r="35" spans="1:2" x14ac:dyDescent="0.3">
      <c r="A35">
        <v>10</v>
      </c>
      <c r="B35" s="83">
        <f t="shared" si="5"/>
        <v>5.2924766764201169E-3</v>
      </c>
    </row>
    <row r="36" spans="1:2" x14ac:dyDescent="0.3">
      <c r="A36">
        <v>11</v>
      </c>
      <c r="B36" s="83">
        <f t="shared" si="5"/>
        <v>1.9245369732436813E-3</v>
      </c>
    </row>
    <row r="37" spans="1:2" x14ac:dyDescent="0.3">
      <c r="A37">
        <v>12</v>
      </c>
      <c r="B37" s="83">
        <f t="shared" si="5"/>
        <v>6.4151232441456022E-4</v>
      </c>
    </row>
    <row r="38" spans="1:2" x14ac:dyDescent="0.3">
      <c r="A38">
        <v>13</v>
      </c>
      <c r="B38" s="83">
        <f t="shared" si="5"/>
        <v>1.9738840751217212E-4</v>
      </c>
    </row>
    <row r="39" spans="1:2" x14ac:dyDescent="0.3">
      <c r="A39">
        <v>14</v>
      </c>
      <c r="B39" s="83">
        <f t="shared" si="5"/>
        <v>5.6396687860620615E-5</v>
      </c>
    </row>
    <row r="40" spans="1:2" x14ac:dyDescent="0.3">
      <c r="A40">
        <v>15</v>
      </c>
      <c r="B40" s="83">
        <f t="shared" si="5"/>
        <v>1.5039116762832177E-5</v>
      </c>
    </row>
    <row r="41" spans="1:2" x14ac:dyDescent="0.3">
      <c r="A41">
        <v>16</v>
      </c>
      <c r="B41" s="83">
        <f t="shared" si="5"/>
        <v>3.7597791907080502E-6</v>
      </c>
    </row>
    <row r="42" spans="1:2" x14ac:dyDescent="0.3">
      <c r="A42">
        <v>17</v>
      </c>
      <c r="B42" s="83">
        <f t="shared" ref="B26:B80" si="6">_xlfn.POISSON.DIST(A42,4,0)</f>
        <v>8.8465392722542387E-7</v>
      </c>
    </row>
    <row r="43" spans="1:2" x14ac:dyDescent="0.3">
      <c r="A43">
        <v>18</v>
      </c>
      <c r="B43" s="83">
        <f t="shared" si="6"/>
        <v>1.9658976160564875E-7</v>
      </c>
    </row>
    <row r="44" spans="1:2" x14ac:dyDescent="0.3">
      <c r="A44">
        <v>19</v>
      </c>
      <c r="B44" s="83">
        <f t="shared" si="6"/>
        <v>4.1387318232768188E-8</v>
      </c>
    </row>
    <row r="45" spans="1:2" x14ac:dyDescent="0.3">
      <c r="A45">
        <v>20</v>
      </c>
      <c r="B45" s="83">
        <f t="shared" si="6"/>
        <v>8.2774636465536645E-9</v>
      </c>
    </row>
    <row r="46" spans="1:2" x14ac:dyDescent="0.3">
      <c r="A46">
        <v>21</v>
      </c>
      <c r="B46" s="83">
        <f t="shared" si="6"/>
        <v>1.5766597422006992E-9</v>
      </c>
    </row>
    <row r="47" spans="1:2" x14ac:dyDescent="0.3">
      <c r="A47">
        <v>22</v>
      </c>
      <c r="B47" s="83">
        <f t="shared" si="6"/>
        <v>2.8666540767285399E-10</v>
      </c>
    </row>
    <row r="48" spans="1:2" x14ac:dyDescent="0.3">
      <c r="A48">
        <v>23</v>
      </c>
      <c r="B48" s="83">
        <f t="shared" si="6"/>
        <v>4.9854853508322518E-11</v>
      </c>
    </row>
    <row r="49" spans="1:2" x14ac:dyDescent="0.3">
      <c r="A49">
        <v>24</v>
      </c>
      <c r="B49" s="83">
        <f t="shared" si="6"/>
        <v>8.3091422513870453E-12</v>
      </c>
    </row>
    <row r="50" spans="1:2" x14ac:dyDescent="0.3">
      <c r="A50">
        <v>25</v>
      </c>
      <c r="B50" s="83">
        <f t="shared" si="6"/>
        <v>1.3294627602219265E-12</v>
      </c>
    </row>
    <row r="51" spans="1:2" x14ac:dyDescent="0.3">
      <c r="A51">
        <v>26</v>
      </c>
      <c r="B51" s="83">
        <f t="shared" si="6"/>
        <v>2.0453273234183633E-13</v>
      </c>
    </row>
    <row r="52" spans="1:2" x14ac:dyDescent="0.3">
      <c r="A52">
        <v>27</v>
      </c>
      <c r="B52" s="83">
        <f t="shared" si="6"/>
        <v>3.0301145532123779E-14</v>
      </c>
    </row>
    <row r="53" spans="1:2" x14ac:dyDescent="0.3">
      <c r="A53">
        <v>28</v>
      </c>
      <c r="B53" s="83">
        <f t="shared" si="6"/>
        <v>4.3287350760177019E-15</v>
      </c>
    </row>
    <row r="54" spans="1:2" x14ac:dyDescent="0.3">
      <c r="A54">
        <v>29</v>
      </c>
      <c r="B54" s="83">
        <f t="shared" si="6"/>
        <v>5.9706690703692043E-16</v>
      </c>
    </row>
    <row r="55" spans="1:2" x14ac:dyDescent="0.3">
      <c r="A55">
        <v>30</v>
      </c>
      <c r="B55" s="83">
        <f t="shared" si="6"/>
        <v>7.9608920938256244E-17</v>
      </c>
    </row>
    <row r="56" spans="1:2" x14ac:dyDescent="0.3">
      <c r="A56">
        <v>31</v>
      </c>
      <c r="B56" s="83">
        <f t="shared" si="6"/>
        <v>1.0272118830742754E-17</v>
      </c>
    </row>
    <row r="57" spans="1:2" x14ac:dyDescent="0.3">
      <c r="A57">
        <v>32</v>
      </c>
      <c r="B57" s="83">
        <f t="shared" si="6"/>
        <v>1.2840148538428504E-18</v>
      </c>
    </row>
    <row r="58" spans="1:2" x14ac:dyDescent="0.3">
      <c r="A58">
        <v>33</v>
      </c>
      <c r="B58" s="83">
        <f t="shared" si="6"/>
        <v>1.5563816410216301E-19</v>
      </c>
    </row>
    <row r="59" spans="1:2" x14ac:dyDescent="0.3">
      <c r="A59">
        <v>34</v>
      </c>
      <c r="B59" s="83">
        <f t="shared" si="6"/>
        <v>1.8310372247313261E-20</v>
      </c>
    </row>
    <row r="60" spans="1:2" x14ac:dyDescent="0.3">
      <c r="A60">
        <v>35</v>
      </c>
      <c r="B60" s="83">
        <f t="shared" si="6"/>
        <v>2.0926139711215209E-21</v>
      </c>
    </row>
    <row r="61" spans="1:2" x14ac:dyDescent="0.3">
      <c r="A61">
        <v>36</v>
      </c>
      <c r="B61" s="83">
        <f t="shared" si="6"/>
        <v>2.3251266345794641E-22</v>
      </c>
    </row>
    <row r="62" spans="1:2" x14ac:dyDescent="0.3">
      <c r="A62">
        <v>37</v>
      </c>
      <c r="B62" s="83">
        <f t="shared" si="6"/>
        <v>2.5136504157615559E-23</v>
      </c>
    </row>
    <row r="63" spans="1:2" x14ac:dyDescent="0.3">
      <c r="A63">
        <v>38</v>
      </c>
      <c r="B63" s="83">
        <f t="shared" si="6"/>
        <v>2.6459478060648091E-24</v>
      </c>
    </row>
    <row r="64" spans="1:2" x14ac:dyDescent="0.3">
      <c r="A64">
        <v>39</v>
      </c>
      <c r="B64" s="83">
        <f t="shared" si="6"/>
        <v>2.7137926216049219E-25</v>
      </c>
    </row>
    <row r="65" spans="1:2" x14ac:dyDescent="0.3">
      <c r="A65">
        <v>40</v>
      </c>
      <c r="B65" s="83">
        <f t="shared" si="6"/>
        <v>2.7137926216048955E-26</v>
      </c>
    </row>
    <row r="66" spans="1:2" x14ac:dyDescent="0.3">
      <c r="A66">
        <v>41</v>
      </c>
      <c r="B66" s="83">
        <f t="shared" si="6"/>
        <v>2.6476025576633763E-27</v>
      </c>
    </row>
    <row r="67" spans="1:2" x14ac:dyDescent="0.3">
      <c r="A67">
        <v>42</v>
      </c>
      <c r="B67" s="83">
        <f t="shared" si="6"/>
        <v>2.5215262453936621E-28</v>
      </c>
    </row>
    <row r="68" spans="1:2" x14ac:dyDescent="0.3">
      <c r="A68">
        <v>43</v>
      </c>
      <c r="B68" s="83">
        <f t="shared" si="6"/>
        <v>2.3456058096685469E-29</v>
      </c>
    </row>
    <row r="69" spans="1:2" x14ac:dyDescent="0.3">
      <c r="A69">
        <v>44</v>
      </c>
      <c r="B69" s="83">
        <f t="shared" si="6"/>
        <v>2.1323689178804845E-30</v>
      </c>
    </row>
    <row r="70" spans="1:2" x14ac:dyDescent="0.3">
      <c r="A70">
        <v>45</v>
      </c>
      <c r="B70" s="83">
        <f t="shared" si="6"/>
        <v>1.8954390381159834E-31</v>
      </c>
    </row>
    <row r="71" spans="1:2" x14ac:dyDescent="0.3">
      <c r="A71">
        <v>46</v>
      </c>
      <c r="B71" s="83">
        <f t="shared" si="6"/>
        <v>1.6482078592313016E-32</v>
      </c>
    </row>
    <row r="72" spans="1:2" x14ac:dyDescent="0.3">
      <c r="A72">
        <v>47</v>
      </c>
      <c r="B72" s="83">
        <f t="shared" si="6"/>
        <v>1.4027300929627859E-33</v>
      </c>
    </row>
    <row r="73" spans="1:2" x14ac:dyDescent="0.3">
      <c r="A73">
        <v>48</v>
      </c>
      <c r="B73" s="83">
        <f t="shared" si="6"/>
        <v>1.168941744135654E-34</v>
      </c>
    </row>
    <row r="74" spans="1:2" x14ac:dyDescent="0.3">
      <c r="A74">
        <v>49</v>
      </c>
      <c r="B74" s="83">
        <f t="shared" si="6"/>
        <v>9.542381584780909E-36</v>
      </c>
    </row>
    <row r="75" spans="1:2" x14ac:dyDescent="0.3">
      <c r="A75">
        <v>50</v>
      </c>
      <c r="B75" s="83">
        <f t="shared" si="6"/>
        <v>7.6339052678246587E-37</v>
      </c>
    </row>
    <row r="76" spans="1:2" x14ac:dyDescent="0.3">
      <c r="A76">
        <v>51</v>
      </c>
      <c r="B76" s="83">
        <f t="shared" si="6"/>
        <v>5.9873766806468736E-38</v>
      </c>
    </row>
    <row r="77" spans="1:2" x14ac:dyDescent="0.3">
      <c r="A77">
        <v>52</v>
      </c>
      <c r="B77" s="83">
        <f t="shared" si="6"/>
        <v>4.6056743697283249E-39</v>
      </c>
    </row>
    <row r="78" spans="1:2" x14ac:dyDescent="0.3">
      <c r="A78">
        <v>53</v>
      </c>
      <c r="B78" s="83">
        <f t="shared" si="6"/>
        <v>3.4759806563987881E-40</v>
      </c>
    </row>
    <row r="79" spans="1:2" x14ac:dyDescent="0.3">
      <c r="A79">
        <v>54</v>
      </c>
      <c r="B79" s="83">
        <f t="shared" si="6"/>
        <v>2.5748004862213286E-41</v>
      </c>
    </row>
    <row r="80" spans="1:2" x14ac:dyDescent="0.3">
      <c r="A80">
        <v>55</v>
      </c>
      <c r="B80" s="83">
        <f t="shared" si="6"/>
        <v>1.8725821717972775E-42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quebra_bombas</vt:lpstr>
      <vt:lpstr>bomba_petrolifera</vt:lpstr>
      <vt:lpstr>lampadas</vt:lpstr>
      <vt:lpstr>dist_frequencia</vt:lpstr>
      <vt:lpstr>Planilha5</vt:lpstr>
      <vt:lpstr>Planilha6</vt:lpstr>
      <vt:lpstr>vinho</vt:lpstr>
      <vt:lpstr>vazoes</vt:lpstr>
      <vt:lpstr>itaparica_sobradinho</vt:lpstr>
      <vt:lpstr>vento</vt:lpstr>
      <vt:lpstr>Planilha1</vt:lpstr>
      <vt:lpstr>peso</vt:lpstr>
      <vt:lpstr>BINOMIAL</vt:lpstr>
      <vt:lpstr>POISSON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 Marinho</cp:lastModifiedBy>
  <dcterms:created xsi:type="dcterms:W3CDTF">2018-03-17T20:41:52Z</dcterms:created>
  <dcterms:modified xsi:type="dcterms:W3CDTF">2026-02-11T13:48:39Z</dcterms:modified>
</cp:coreProperties>
</file>