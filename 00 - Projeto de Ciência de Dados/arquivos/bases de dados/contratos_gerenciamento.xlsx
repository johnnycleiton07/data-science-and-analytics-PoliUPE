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25" sheetId="1" r:id="rId4"/>
  </sheets>
  <definedNames/>
  <calcPr/>
  <extLst>
    <ext uri="GoogleSheetsCustomDataVersion2">
      <go:sheetsCustomData xmlns:go="http://customooxmlschemas.google.com/" r:id="rId5" roundtripDataChecksum="zMlR9kr4S9PCDSIqCQCMoM65j7kGqLTDaR9MtjzkTEU="/>
    </ext>
  </extLst>
</workbook>
</file>

<file path=xl/sharedStrings.xml><?xml version="1.0" encoding="utf-8"?>
<sst xmlns="http://schemas.openxmlformats.org/spreadsheetml/2006/main" count="1728" uniqueCount="612">
  <si>
    <t>CONTRATADA</t>
  </si>
  <si>
    <t>CNPJ DA
 CONTRATADA</t>
  </si>
  <si>
    <t>OBJETO</t>
  </si>
  <si>
    <t>Nº PROCESSO LICITATÓRIO</t>
  </si>
  <si>
    <t>MODALIDADE DE LICITAÇÃO / PROCEDIMENTO DE COMPRA DIRETA</t>
  </si>
  <si>
    <t>Nº DO CONTRATO</t>
  </si>
  <si>
    <t>ANO DO CONTRATO</t>
  </si>
  <si>
    <t>INÍCIO DA VIGÊNCIA</t>
  </si>
  <si>
    <t>ADITIVO DE PRAZO</t>
  </si>
  <si>
    <t>FIM DA VIGÊNCIA</t>
  </si>
  <si>
    <t>Nº DO APOSTILAMENTO</t>
  </si>
  <si>
    <t>ADITIVO DE VALOR</t>
  </si>
  <si>
    <t>VALOR MENSAL</t>
  </si>
  <si>
    <t>VALOR TOTAL DO CONTRATO</t>
  </si>
  <si>
    <t>VALOR EXECUTADO</t>
  </si>
  <si>
    <t>SITUAÇÃO</t>
  </si>
  <si>
    <r>
      <rPr>
        <rFont val="Roboto"/>
        <b/>
        <color rgb="FFFFFFFF"/>
        <sz val="12.0"/>
      </rPr>
      <t xml:space="preserve">TIPO DO </t>
    </r>
    <r>
      <rPr>
        <rFont val="Roboto"/>
        <b/>
        <color rgb="FFFFFF00"/>
        <sz val="18.0"/>
      </rPr>
      <t>OBJETO</t>
    </r>
  </si>
  <si>
    <r>
      <rPr>
        <rFont val="Roboto"/>
        <b/>
        <color rgb="FFFFFFFF"/>
        <sz val="14.0"/>
      </rPr>
      <t xml:space="preserve">PRAZO DE </t>
    </r>
    <r>
      <rPr>
        <rFont val="Roboto"/>
        <b/>
        <color rgb="FFFFFF00"/>
        <sz val="18.0"/>
      </rPr>
      <t>VIGÊNCIA</t>
    </r>
  </si>
  <si>
    <r>
      <rPr>
        <rFont val="Roboto"/>
        <b/>
        <color rgb="FFFFFF00"/>
        <sz val="18.0"/>
      </rPr>
      <t xml:space="preserve">NOTIFICAÇÃO </t>
    </r>
    <r>
      <rPr>
        <rFont val="Roboto"/>
        <b/>
        <color rgb="FFFFFFFF"/>
        <sz val="14.0"/>
      </rPr>
      <t>TEMPESTIVIDADE GESTOR E FISCAL</t>
    </r>
  </si>
  <si>
    <r>
      <rPr>
        <rFont val="Roboto"/>
        <b/>
        <color rgb="FFFFFF00"/>
        <sz val="18.0"/>
      </rPr>
      <t xml:space="preserve">GESTOR </t>
    </r>
    <r>
      <rPr>
        <rFont val="Roboto"/>
        <b/>
        <color rgb="FFFFFFFF"/>
        <sz val="12.0"/>
      </rPr>
      <t xml:space="preserve">DO CONTRATO </t>
    </r>
    <r>
      <rPr>
        <rFont val="Roboto"/>
        <b/>
        <color rgb="FFFFFF00"/>
        <sz val="18.0"/>
      </rPr>
      <t>ATUALIZADO</t>
    </r>
  </si>
  <si>
    <r>
      <rPr>
        <rFont val="Roboto"/>
        <b/>
        <color rgb="FFFFFFFF"/>
        <sz val="18.0"/>
      </rPr>
      <t xml:space="preserve">FISCAL </t>
    </r>
    <r>
      <rPr>
        <rFont val="Roboto"/>
        <b/>
        <color rgb="FFFFFFFF"/>
        <sz val="12.0"/>
      </rPr>
      <t>DO CONTRATO</t>
    </r>
  </si>
  <si>
    <t>RESPONSÁVEL PELO ACOMPANHAMENTO DA GESTÃO CONTRATUAL</t>
  </si>
  <si>
    <r>
      <rPr>
        <rFont val="Roboto"/>
        <b/>
        <color rgb="FFFFFFFF"/>
        <sz val="12.0"/>
      </rPr>
      <t xml:space="preserve">CONTRATO REGIDO PELA </t>
    </r>
    <r>
      <rPr>
        <rFont val="Roboto"/>
        <b/>
        <color rgb="FFFFFF00"/>
        <sz val="18.0"/>
      </rPr>
      <t>LEI</t>
    </r>
  </si>
  <si>
    <r>
      <rPr>
        <rFont val="Roboto"/>
        <b/>
        <color theme="1"/>
        <sz val="18.0"/>
      </rPr>
      <t xml:space="preserve">NÚMERO </t>
    </r>
    <r>
      <rPr>
        <rFont val="Roboto"/>
        <b/>
        <color theme="1"/>
        <sz val="12.0"/>
      </rPr>
      <t>DA NOTA FISCAL</t>
    </r>
  </si>
  <si>
    <r>
      <rPr>
        <rFont val="Roboto"/>
        <b/>
        <color theme="1"/>
        <sz val="18.0"/>
      </rPr>
      <t xml:space="preserve">VALOR (R$) </t>
    </r>
    <r>
      <rPr>
        <rFont val="Roboto"/>
        <b/>
        <color theme="1"/>
        <sz val="12.0"/>
      </rPr>
      <t>DA NOTA FISCAL</t>
    </r>
  </si>
  <si>
    <r>
      <rPr>
        <rFont val="Roboto"/>
        <b/>
        <color theme="1"/>
        <sz val="12.0"/>
      </rPr>
      <t xml:space="preserve">DATA DE </t>
    </r>
    <r>
      <rPr>
        <rFont val="Roboto"/>
        <b/>
        <color theme="1"/>
        <sz val="18.0"/>
      </rPr>
      <t xml:space="preserve">EMISSÃO </t>
    </r>
    <r>
      <rPr>
        <rFont val="Roboto"/>
        <b/>
        <color theme="1"/>
        <sz val="12.0"/>
      </rPr>
      <t>DA NOTA FISCAL</t>
    </r>
  </si>
  <si>
    <r>
      <rPr>
        <rFont val="Roboto"/>
        <b/>
        <color theme="1"/>
        <sz val="12.0"/>
      </rPr>
      <t xml:space="preserve">DATA DE </t>
    </r>
    <r>
      <rPr>
        <rFont val="Roboto"/>
        <b/>
        <color theme="1"/>
        <sz val="18.0"/>
      </rPr>
      <t xml:space="preserve">RECEPÇÃO </t>
    </r>
    <r>
      <rPr>
        <rFont val="Roboto"/>
        <b/>
        <color theme="1"/>
        <sz val="12.0"/>
      </rPr>
      <t>DA NOTA FISCAL</t>
    </r>
  </si>
  <si>
    <r>
      <rPr>
        <rFont val="Roboto"/>
        <b/>
        <color theme="1"/>
        <sz val="12.0"/>
      </rPr>
      <t xml:space="preserve">DATA DE </t>
    </r>
    <r>
      <rPr>
        <rFont val="Roboto"/>
        <b/>
        <color theme="1"/>
        <sz val="18.0"/>
      </rPr>
      <t xml:space="preserve">ENVIO </t>
    </r>
    <r>
      <rPr>
        <rFont val="Roboto"/>
        <b/>
        <color theme="1"/>
        <sz val="12.0"/>
      </rPr>
      <t>AO FISCAL</t>
    </r>
  </si>
  <si>
    <r>
      <rPr>
        <rFont val="Roboto"/>
        <b/>
        <color theme="1"/>
        <sz val="18.0"/>
      </rPr>
      <t xml:space="preserve"> </t>
    </r>
    <r>
      <rPr>
        <rFont val="Roboto"/>
        <b/>
        <color theme="1"/>
        <sz val="12.0"/>
      </rPr>
      <t xml:space="preserve">DATA DO </t>
    </r>
    <r>
      <rPr>
        <rFont val="Roboto"/>
        <b/>
        <color theme="1"/>
        <sz val="18.0"/>
      </rPr>
      <t>ATESTO</t>
    </r>
  </si>
  <si>
    <r>
      <rPr>
        <rFont val="Roboto"/>
        <b/>
        <color theme="1"/>
        <sz val="12.0"/>
      </rPr>
      <t xml:space="preserve">DATA DE ENVIO À </t>
    </r>
    <r>
      <rPr>
        <rFont val="Roboto"/>
        <b/>
        <color theme="1"/>
        <sz val="18.0"/>
      </rPr>
      <t>DOF</t>
    </r>
  </si>
  <si>
    <r>
      <rPr>
        <rFont val="Roboto"/>
        <b/>
        <color rgb="FF000000"/>
        <sz val="12.0"/>
      </rPr>
      <t xml:space="preserve">SITUAÇÃO DO </t>
    </r>
    <r>
      <rPr>
        <rFont val="Roboto"/>
        <b/>
        <color rgb="FF000000"/>
        <sz val="18.0"/>
      </rPr>
      <t>ATESTO</t>
    </r>
  </si>
  <si>
    <t>SAFE SUPORTE A VIDA E COMERCIO INTERNACIONAL LTDA</t>
  </si>
  <si>
    <t>08.675.394/0001-90</t>
  </si>
  <si>
    <t>O fornecimento de UM APARELHO DE ANESTESIA – montado sobre carro móvel para atender o Pronto Socorro Cardiológico Universitário da Universidade de Pernambuco (PROCAPE/UPE).</t>
  </si>
  <si>
    <t>0032022CPLREITPE0003FESPUPE</t>
  </si>
  <si>
    <t>PREGÃO ELETRÔNICO</t>
  </si>
  <si>
    <t>02</t>
  </si>
  <si>
    <t>ENCERRADO</t>
  </si>
  <si>
    <t>EQUIPAMENTO</t>
  </si>
  <si>
    <t>Ivan Silva Oliveira (PROCAPE)</t>
  </si>
  <si>
    <t>William Mignac Larré (PROCAPE)</t>
  </si>
  <si>
    <t>Joás Aquino (CONTRATOS)</t>
  </si>
  <si>
    <t>8666/93</t>
  </si>
  <si>
    <t>O fornecimento de 1 (um) ULTRASSONOGRAFO – Sistema de Ecografia Portátil, através do convênio nº 915.680/2021 para atender as necessidades do Hospital Universitário Oswaldo Cruz (HUOC)</t>
  </si>
  <si>
    <t>00052022CPLREITPE0005FESPUPE</t>
  </si>
  <si>
    <t>06</t>
  </si>
  <si>
    <t>Márcia Lima Crócia de Barros (HUOC)</t>
  </si>
  <si>
    <t>Mônica Maria de Arruda Cavalcanti</t>
  </si>
  <si>
    <t>TK ELEVADORES BRASIL LTDA
(REITORIA)</t>
  </si>
  <si>
    <t>90.347.840/0008-94</t>
  </si>
  <si>
    <t>Prestação de serviços de manutenção preventiva e corretiva, com reposição de peças novas, nos elevadores instalados no Bloco B e C da Reitoria da Universidade de Pernambuco, pelo período de 12 (doze) meses.</t>
  </si>
  <si>
    <t>00432023CCDIN0007FESPUPE</t>
  </si>
  <si>
    <t>INEXIGIBILIDADE</t>
  </si>
  <si>
    <t>11</t>
  </si>
  <si>
    <t>1º</t>
  </si>
  <si>
    <t>-</t>
  </si>
  <si>
    <t>EM EXECUÇÃO</t>
  </si>
  <si>
    <t>SERVIÇO</t>
  </si>
  <si>
    <t>Marília Freitas (SERVTRANS)</t>
  </si>
  <si>
    <t>Roberto Lima (Manut. Predial)</t>
  </si>
  <si>
    <t>- - - - -</t>
  </si>
  <si>
    <t>ENVIADO À DOF</t>
  </si>
  <si>
    <t>AUTOGRAFIA EDIÇÃO COMUNICAÇÃO E COMÉRCIO LTDA</t>
  </si>
  <si>
    <t>14.518.215/0001-03</t>
  </si>
  <si>
    <t>Prestação de serviços de revisão ortográfica, diagramação, impressão, edição, tradução e distribuição de livros, destinados às diversas áreas do conhecimento da Universidade de Pernambuco</t>
  </si>
  <si>
    <t>00262023CPLREITPE0010FESPUPE</t>
  </si>
  <si>
    <t>14</t>
  </si>
  <si>
    <t>Carlos André (EDUPE)</t>
  </si>
  <si>
    <t>Felipe Ramos da Paixão (EDUPE)</t>
  </si>
  <si>
    <t>30812024CPLREITPE0054FESPUPE</t>
  </si>
  <si>
    <t>34</t>
  </si>
  <si>
    <t>60 DIAS</t>
  </si>
  <si>
    <t>14133/21</t>
  </si>
  <si>
    <t>SERCOSERV SERVIÇOS TERCEIRIZADOS LTDA</t>
  </si>
  <si>
    <t>08.717.223/0001-86</t>
  </si>
  <si>
    <t>Prestação de serviços de copeiragem, conforme as especificações contidas no Termo de Referência, na proposta da Contratada e nas demais cláusulas do Contrato.</t>
  </si>
  <si>
    <t>02012022PREGVPE0134SAD</t>
  </si>
  <si>
    <t>ADESÃO A ATA DE REGISTRO DE PREÇO</t>
  </si>
  <si>
    <t>07</t>
  </si>
  <si>
    <t>2º</t>
  </si>
  <si>
    <t>SERVIÇO COM MÃO DE OBRA</t>
  </si>
  <si>
    <t>Márcia Morais (GABINETE)</t>
  </si>
  <si>
    <r>
      <rPr>
        <rFont val="Roboto"/>
        <b/>
        <color rgb="FF000000"/>
        <sz val="12.0"/>
      </rPr>
      <t xml:space="preserve">ACTIVE GESTÃO E SERVIÇOS LTDA
</t>
    </r>
    <r>
      <rPr>
        <rFont val="Roboto"/>
        <b/>
        <color rgb="FF000000"/>
        <sz val="12.0"/>
      </rPr>
      <t>(IIT)</t>
    </r>
  </si>
  <si>
    <t>28.914.691/0001-58</t>
  </si>
  <si>
    <t>Prestação de serviços de Limpeza e Conservação Predial, visando à obtenção de adequadas condições de salubridade e higiene, com a disponibilização de mão de obra, produtos saneantes domissanitários, materiais e equipamentos para atender IIT – Instituto de Inovação Tecnologica da UPE</t>
  </si>
  <si>
    <t>01682021CCPLEVPE0144SADFESPUPE</t>
  </si>
  <si>
    <t>19</t>
  </si>
  <si>
    <t>Márcia Macedo (IIT)</t>
  </si>
  <si>
    <r>
      <rPr>
        <rFont val="Roboto"/>
        <b/>
        <color rgb="FF000000"/>
        <sz val="12.0"/>
      </rPr>
      <t xml:space="preserve">PROSEL TERCEIRIZAÇÃO LIMPEZA E CONSTRUÇÃO EIRELI
</t>
    </r>
    <r>
      <rPr>
        <rFont val="Roboto"/>
        <b/>
        <color rgb="FF000000"/>
        <sz val="12.0"/>
      </rPr>
      <t>(CONFÚCIO)</t>
    </r>
  </si>
  <si>
    <t>37.548.251/0001-34</t>
  </si>
  <si>
    <t>Prestação de serviços de Limpeza e Conservação Predial, visando à obtenção de adequadas condições de salubridade e higiene, com a disponibilização de mão de obra, produtos saneantes domissanitários, materiais e equipamentos para atender o Instituto Confúcio/ UPE.</t>
  </si>
  <si>
    <t>21</t>
  </si>
  <si>
    <t>3º</t>
  </si>
  <si>
    <t>Igor (CONFÚCIO)</t>
  </si>
  <si>
    <t>TOGGI SERVICE LIMPEZA E CONSERVAÇÃO EIRELI
(REITORIA)</t>
  </si>
  <si>
    <t>21.821.091/0001-04</t>
  </si>
  <si>
    <t>prestação de serviços de Limpeza e Conservação Predial, visando à obtenção de adequadas condições de salubridade e higiene, com a disponibilização de mão de obra, produtos saneantes domissanitários, materiais e equipamentos para atender a Reitoria da Universidade de Pernambuco e o Campus Surubim da UPE.</t>
  </si>
  <si>
    <t>22</t>
  </si>
  <si>
    <t>Érica Joéllen (SERVTRANS))</t>
  </si>
  <si>
    <t>TOGGI SERVICE LIMPEZA E CONSERVAÇÃO EIRELI
(SURUBIM)</t>
  </si>
  <si>
    <t>Gevson Andrade (CMN)</t>
  </si>
  <si>
    <t>ELENET SERVICOS TECNICOS LTDA</t>
  </si>
  <si>
    <t>09.502.112/0001-15</t>
  </si>
  <si>
    <t>Contratação de empresa especializada para prestação de serviços de manutenção preventiva e corretiva, de grupo gerador, instalado na Reitoria da Universidade de Pernambuco</t>
  </si>
  <si>
    <t>00202022CCDIN0007FESPUPE</t>
  </si>
  <si>
    <t>DISPENSA</t>
  </si>
  <si>
    <t>40</t>
  </si>
  <si>
    <t>PENDENTE DE ATESTO</t>
  </si>
  <si>
    <t>TK ELEVADORES BRASIL LTDA
(CONFÚCIO)</t>
  </si>
  <si>
    <t>Prestação de serviços de manutenção preventiva e corretiva, com reposição de peças, no elevador instalado no INSTITUTO CONFÚCIO DA UNIVERSIDADE DE PERNAMBUCO.</t>
  </si>
  <si>
    <t>00462022CCDIN0017FESPUPE</t>
  </si>
  <si>
    <t>04</t>
  </si>
  <si>
    <t>DIBASA COMÉRCIO E SERVIÇOS LTDA-EPP
(IIT)</t>
  </si>
  <si>
    <t>11.836.848/0001-71</t>
  </si>
  <si>
    <t>Prestação de serviços de SERVIÇOS DE MANUTENÇÃO PREVENTIVA E CORRETIVA DE ELEVADORES, COM REPOSIÇÃO DE PEÇAS, para atender as necessidades do Bloco D da Reitoria da Universidade de Pernambuco como também do prédio do IIT (Instituto de Inovação Tecnológica da UPE), da Universidade de Pernambuco.</t>
  </si>
  <si>
    <t>04922024CCDDL0009FESPUPE</t>
  </si>
  <si>
    <r>
      <rPr>
        <rFont val="Roboto"/>
        <b/>
        <color rgb="FF000000"/>
        <sz val="12.0"/>
      </rPr>
      <t xml:space="preserve">DIBASA COMÉRCIO E SERVIÇOS LTDA-EPP
</t>
    </r>
    <r>
      <rPr>
        <rFont val="Roboto"/>
        <b/>
        <color rgb="FF000000"/>
        <sz val="12.0"/>
      </rPr>
      <t>(REITORIA)</t>
    </r>
  </si>
  <si>
    <t>BRAZON MAXFILTER INDÚSTRIA E LOCAÇÃO DE PURIFICADORES DE ÁGUA LTDA</t>
  </si>
  <si>
    <t>9114027/0001.80</t>
  </si>
  <si>
    <t>Prestação de serviço locação de purificadores de água, para manutenção preventiva e corretiva com preposição de peças, para atender a Reitoria da UPE</t>
  </si>
  <si>
    <t>02332023CCDDL0111FESPUPE</t>
  </si>
  <si>
    <t>17</t>
  </si>
  <si>
    <t>TOPPUS SERVIÇOS TERCEIRIZADOS EIRELI</t>
  </si>
  <si>
    <t>92.81.162/0001-10</t>
  </si>
  <si>
    <t>Prestação de serviços de motoristas, mediante a disponibilização de profissionais devidamente habilitados nas categorias “B”, “C” e “D”, para atender as demandas da Reitoria da UPE</t>
  </si>
  <si>
    <t>00902022CCPLEVPE0061SAD</t>
  </si>
  <si>
    <t>08</t>
  </si>
  <si>
    <t>MARANATA PRESTADORA DE SERVIÇOS E CONSTRUÇÕES LTDA</t>
  </si>
  <si>
    <t>03.325.436/0001-49</t>
  </si>
  <si>
    <t>Prestação de serviços de motorista e diárias para atender as necessidades da Reitoria da UPE</t>
  </si>
  <si>
    <t>02092019CCPLEVIPE0147SAD</t>
  </si>
  <si>
    <t>23</t>
  </si>
  <si>
    <t>1°</t>
  </si>
  <si>
    <t>POLO COMERCIAL DE CARUARU LTDA</t>
  </si>
  <si>
    <t>05.970.676/0001-21</t>
  </si>
  <si>
    <t>Locação de imóvel correspondente a uma área de 1.457m2, inserida no empreendimento Polo Comercial de Caruaru, localizado na BR 104, Km62, Nova Caruaru.</t>
  </si>
  <si>
    <t>00862019CPLREITDL0045FESPUPE</t>
  </si>
  <si>
    <t>86</t>
  </si>
  <si>
    <t>Robson Carvalho (CARUARU)</t>
  </si>
  <si>
    <t xml:space="preserve">FATURA </t>
  </si>
  <si>
    <t>KÁTIA CRISTINA PEREIRA DE FREITAS</t>
  </si>
  <si>
    <t>863.773.884-20</t>
  </si>
  <si>
    <t>Locação do imóvel localizado na Cidade de Palmares, na Rua Dr. Homero de Fança Limeira, nº 289, Bairro Santa Rosa, matriculado no Cartório de Registro de Imóveis da Comarca de Palmares sob o nº 01040370713001, com área construída 913,55m² da proprietária Katia Cristina Pereira de Freitas.</t>
  </si>
  <si>
    <t>01132019 DL 0054FESPUPE</t>
  </si>
  <si>
    <t>25</t>
  </si>
  <si>
    <t>Wilton Azevedo (CMS)</t>
  </si>
  <si>
    <t>RECIBO</t>
  </si>
  <si>
    <t>31/11/2025</t>
  </si>
  <si>
    <t>JMF CONSTRUÇÕES E SERVIÇOS TERCEIRIZADOS EIRELI EPP</t>
  </si>
  <si>
    <t>10.624.354/0001-60</t>
  </si>
  <si>
    <t>Prestação de Serviços de copeiragem par atender a Reitoria da UPE.</t>
  </si>
  <si>
    <t>18</t>
  </si>
  <si>
    <t>PRORROGADO</t>
  </si>
  <si>
    <t>Priscila Sanara (GABINETE)</t>
  </si>
  <si>
    <t>PENDENTE DE DOCUMENTAÇÃO</t>
  </si>
  <si>
    <r>
      <rPr>
        <rFont val="Roboto"/>
        <b/>
        <color rgb="FF000000"/>
        <sz val="12.0"/>
      </rPr>
      <t xml:space="preserve">ALFORGE SEGURANÇA PATRIMONIAL LTDA 
</t>
    </r>
    <r>
      <rPr>
        <rFont val="Roboto"/>
        <b/>
        <color rgb="FF000000"/>
        <sz val="12.0"/>
      </rPr>
      <t>(REITORIA E FOP Camaragibe)</t>
    </r>
  </si>
  <si>
    <t>13.343.833/0001-05</t>
  </si>
  <si>
    <t>Prestação de Serviços de vigilância armada para atender a Reitoria da UPE e do antigo imóvel da FOP (Camaragibe-PE).</t>
  </si>
  <si>
    <t>00092020CCPLEIVPE0008SAD</t>
  </si>
  <si>
    <t>31</t>
  </si>
  <si>
    <t>5º</t>
  </si>
  <si>
    <t>Eduardo Periquito (CONTRATOS)</t>
  </si>
  <si>
    <t>25404                 25405                   25406</t>
  </si>
  <si>
    <t>R$ 12.610,42                               R$ 12.610,42                      R$ 37.846,70</t>
  </si>
  <si>
    <t>ASA RENT A CAR LOCACAO DE VEICULOS LTDA</t>
  </si>
  <si>
    <t>07.005.206/0001-53</t>
  </si>
  <si>
    <t>Locação anual de veículos administrativos, sem motorista, classificação VS-1, com sistema de rastreamento e monitoramento incluso, com vistas a atender às necessidades da / Reitoria da UPE</t>
  </si>
  <si>
    <t>01162021CCPLEIIPE0103SAD</t>
  </si>
  <si>
    <t>39</t>
  </si>
  <si>
    <t>Dayse Matos</t>
  </si>
  <si>
    <t>RM TERCEIRIZAÇÃO E GESTÃO DE RECURSOS HUMANOS EIRELI (PORTEIRO)</t>
  </si>
  <si>
    <t>05.465.222/0001-01</t>
  </si>
  <si>
    <r>
      <rPr>
        <rFont val="Roboto"/>
        <color rgb="FF000000"/>
        <sz val="12.0"/>
      </rPr>
      <t>Prestação de serviços de controle, operação e fiscalização de</t>
    </r>
    <r>
      <rPr>
        <rFont val="Roboto"/>
        <b/>
        <color rgb="FF000000"/>
        <sz val="12.0"/>
      </rPr>
      <t xml:space="preserve"> portarias</t>
    </r>
    <r>
      <rPr>
        <rFont val="Roboto"/>
        <color rgb="FF000000"/>
        <sz val="12.0"/>
      </rPr>
      <t xml:space="preserve"> para atender as necessidades da Reitoria da UPE</t>
    </r>
  </si>
  <si>
    <t>01672021CCPLEVPE043SAD</t>
  </si>
  <si>
    <t>50</t>
  </si>
  <si>
    <t>30 DIAS</t>
  </si>
  <si>
    <t>RM TERCEIRIZAÇÃO E GESTÃO DE RECURSOS HUMANOS EIRELI (RECEPÇÃO)</t>
  </si>
  <si>
    <r>
      <rPr>
        <rFont val="Roboto"/>
        <color rgb="FF000000"/>
        <sz val="12.0"/>
      </rPr>
      <t>Prestação de serviço de mão de obra – do tipo r</t>
    </r>
    <r>
      <rPr>
        <rFont val="Roboto"/>
        <b/>
        <color rgb="FF000000"/>
        <sz val="12.0"/>
      </rPr>
      <t>ecepcionista</t>
    </r>
    <r>
      <rPr>
        <rFont val="Roboto"/>
        <color rgb="FF000000"/>
        <sz val="12.0"/>
      </rPr>
      <t>, nível médio com conhecimento básico em informática, posto de 44 horas semanais, turno diurno, segunda a sexta-feira, para atender a Reitoria da UPE</t>
    </r>
  </si>
  <si>
    <t>01272022PREGVPE0088SAD</t>
  </si>
  <si>
    <t>10</t>
  </si>
  <si>
    <t>Maria do Carmo (Protocolo)</t>
  </si>
  <si>
    <r>
      <rPr>
        <rFont val="Roboto"/>
        <b/>
        <color rgb="FF000000"/>
        <sz val="12.0"/>
      </rPr>
      <t xml:space="preserve">COMPANHIA EDITORA DE PERNAMBUCO - CEPE </t>
    </r>
    <r>
      <rPr>
        <rFont val="Roboto"/>
        <b/>
        <color rgb="FF000000"/>
        <sz val="12.0"/>
      </rPr>
      <t>(PUBLICAÇÃO)</t>
    </r>
  </si>
  <si>
    <t>10.921.252/0001-07</t>
  </si>
  <si>
    <t>Prestação de serviços de publicação de editais, avisos, extratos de contratos e convênios e demais atos administrativos, no Diário Oficial do Estado de Pernambuco (DOE), para atender necessidades da Reitoria da UPE</t>
  </si>
  <si>
    <t>01352022CCPLEIIIN0014SAD</t>
  </si>
  <si>
    <t>62</t>
  </si>
  <si>
    <t>ÁGUIA SERVIÇOS DE VIGILÂNCIA LTDA
(CONFÚCIO)</t>
  </si>
  <si>
    <t>11.516.861/0001-43</t>
  </si>
  <si>
    <t>Prestação de serviços Vigilância Armada posto de 24 horas diárias, de segunda a domingo, visando atender as necessidades, sendo 1 (um) posto para Instituto de Inovação Tecnológica da UPE e 1 (um) posto para o Instituto Confúcio</t>
  </si>
  <si>
    <t>01902022PREGIXPE0126SAD</t>
  </si>
  <si>
    <t>ÁGUIA SERVIÇOS DE VIGILÂNCIA LTDA 
(IIT)</t>
  </si>
  <si>
    <t>Prestação de serviços Vigilância Armada posto de 24 horas diárias, de segunda a domingo, visando atender as necessidades, sendo 1 (um) posto para Instituto Inovação Tecnológica da UPE e 1 (um) posto para o Instituto Confúcio</t>
  </si>
  <si>
    <t>MAXIFROTA SERVIÇOS DE MANUTENÇÃO E FROTA
(UPE-EAD)</t>
  </si>
  <si>
    <t>27.284.516/0001-61</t>
  </si>
  <si>
    <t xml:space="preserve">Prestação do serviço de gerenciamento do abastecimento veículos/equipamentos envolvendo a implantação e operação de um sistema informatizado, via internet, através da tecnologia de cartão eletrônico para a Reitoria da UPE </t>
  </si>
  <si>
    <t>01982019CCPLEXIPE0139SAD</t>
  </si>
  <si>
    <t>03</t>
  </si>
  <si>
    <t>4º</t>
  </si>
  <si>
    <t>001.2025 E
002/2025 AO TERMO DE ADESÃO 003.2020.096.UPEEAD.001</t>
  </si>
  <si>
    <t>MAXIFROTA SERVIÇOS DE MANUTENÇÃO E FROTA
(UPE-REITORIA)</t>
  </si>
  <si>
    <t>001.2025 AO TERMO DE ADESÃO N° 003.2020.095.UPE.001</t>
  </si>
  <si>
    <t>RM TERCEIRIZAÇÃO E GESTÃO DE RECURSOS HUMANOS LTDA
(MATA NORTE - MÃO DE OBRA)</t>
  </si>
  <si>
    <r>
      <rPr>
        <rFont val="Roboto"/>
        <color rgb="FF000000"/>
        <sz val="12.0"/>
      </rPr>
      <t>Prestação de serviços de mão de obra - do tipo</t>
    </r>
    <r>
      <rPr>
        <rFont val="Roboto"/>
        <b/>
        <color rgb="FF000000"/>
        <sz val="12.0"/>
      </rPr>
      <t xml:space="preserve"> apoio administrativo</t>
    </r>
    <r>
      <rPr>
        <rFont val="Roboto"/>
        <color rgb="FF000000"/>
        <sz val="12.0"/>
      </rPr>
      <t>, com jornada de trabalho de 44 horas semanais, de segunda a sexta, diurno, visando à realização de atividades administrativas acessórias, instrumentais ou complementares para atender o Campus Mata Norte da Universidade de Pernambuco, conforme as especificações contidas no Termo de Referência, na proposta da CONTRATADA e nos demais documentos constantes do processo administrativo em epígrafe (Convênio Federal nº 863163).</t>
    </r>
  </si>
  <si>
    <t>00342023PREGXVPE0030SAD</t>
  </si>
  <si>
    <t>Gevson Andrade (MATA NORTE)</t>
  </si>
  <si>
    <t>Edlene Nascimento (CMN)</t>
  </si>
  <si>
    <t>H.A.P.L. REFRIGERAÇÃO E SERVIÇOS EM GERAL LTDA
(IIT)</t>
  </si>
  <si>
    <t>50.128.684/0001-80</t>
  </si>
  <si>
    <t>Prestação dos serviços de manutenção preventiva e corretiva de aparelhos de ar-condicionado da UPE, divididos em 04 (quatro) lotes distintos: 1º LOTE – UPE Reitoria; 2º LOTE – UPE Campus Caruaru; 3º LOTE – Instituto Confúcio da UPE; 4º LOTE - Instituto de Inovação Tecnológica (IIT) da UPE.</t>
  </si>
  <si>
    <t>15812024CPLREITPE0023FESPUPE</t>
  </si>
  <si>
    <t>27</t>
  </si>
  <si>
    <t>Ramon Araújo (CONTRATOS)S</t>
  </si>
  <si>
    <t>H.A.P.L. REFRIGERAÇÃO E SERVIÇOS EM GERAL LTDA
(CARUARU)</t>
  </si>
  <si>
    <r>
      <rPr>
        <rFont val="Roboto"/>
        <b/>
        <color rgb="FF000000"/>
        <sz val="12.0"/>
      </rPr>
      <t xml:space="preserve">H.A.P.L. REFRIGERAÇÃO E SERVIÇOS EM GERAL LTDA </t>
    </r>
    <r>
      <rPr>
        <rFont val="Roboto"/>
        <b/>
        <color rgb="FF000000"/>
        <sz val="12.0"/>
      </rPr>
      <t>(CONFÚCIO)</t>
    </r>
  </si>
  <si>
    <t>H.A.P.L. REFRIGERAÇÃO E SERVIÇOS EM GERAL LTDA
(REITORIA)</t>
  </si>
  <si>
    <t>BENIT CONSTRUÇÕES, TERCEIRIZAÇÃO E SERVIÇOS LTDA 
( FOP SANTO AMARO)
LIMPEZA - ADITIVO EM CONTRATO DO HUOC</t>
  </si>
  <si>
    <t>24.320.865/0001-01</t>
  </si>
  <si>
    <t>Prestação de Serviço de LIMPEZA PREDIAL para atender ao NOVO PRÉDIO DA FOP, localizado na Av. Norte, N° 80.</t>
  </si>
  <si>
    <t>00142020CCPLEIVPE0013SADHUOC</t>
  </si>
  <si>
    <t>PREGÃO PRESENCIAL</t>
  </si>
  <si>
    <t>183</t>
  </si>
  <si>
    <t>7°</t>
  </si>
  <si>
    <t>Patrícia Lopes (PROADMI)</t>
  </si>
  <si>
    <t>Alexandre Wanderley (FOP)</t>
  </si>
  <si>
    <t>Ramon Araújo (CONTRATOS)</t>
  </si>
  <si>
    <t>ÁGUIA SERVIÇOS DE VIGILÂNCIA LTDA 
(FOP)</t>
  </si>
  <si>
    <t>Prestação de serviço de VIGILÂNCIA ARMADA  para atender ao NOVO PRÉDIO DA FOP, localizado na Av. Norte, N° 80.</t>
  </si>
  <si>
    <t>ADESÃO À ATA DE REGISTRO DE PREÇO</t>
  </si>
  <si>
    <t>214</t>
  </si>
  <si>
    <t>3°</t>
  </si>
  <si>
    <t>&lt; 10 DIAS</t>
  </si>
  <si>
    <t>BBC SERVICOS DE VIGILANCIA LTDA
(CARUARU)</t>
  </si>
  <si>
    <t>03.401.987/0001-44</t>
  </si>
  <si>
    <r>
      <rPr>
        <rFont val="Roboto"/>
        <color rgb="FF000000"/>
        <sz val="12.0"/>
      </rPr>
      <t xml:space="preserve">Prestação de serviços de VIGILÂNCIA ARMADA, nos termos da LEI FEDERAL N° 7.102/83, PREGÃO ELETRÔNICO N° 0086.2018 e PROCSSO N° </t>
    </r>
    <r>
      <rPr>
        <rFont val="Roboto"/>
        <color rgb="FF1155CC"/>
        <sz val="12.0"/>
      </rPr>
      <t>0138.2018.CCPLE-V.PE</t>
    </r>
    <r>
      <rPr>
        <rFont val="Roboto"/>
        <color rgb="FF000000"/>
        <sz val="12.0"/>
      </rPr>
      <t>.0086.SAD, referentes a UPE CAMPUS CARUARU.</t>
    </r>
  </si>
  <si>
    <t xml:space="preserve"> 01382018CCPLEVPE0086SAD</t>
  </si>
  <si>
    <t>2°</t>
  </si>
  <si>
    <t>DINAMÉRICA SERVIÇOS GERAIS EIRELI ME
(CARUARU)</t>
  </si>
  <si>
    <t>04.225.216/0001-06</t>
  </si>
  <si>
    <t>Prestação de serviços de Limpeza em Ambiente Escolar, abrangendo prédio, mobiliário e equipamentos escolares, da UPE – Campus Caruaru e Serra Talhada, visando à obtenção de adequadas condições de salubridade e higiene, com a disponibilização de mão de obra, saneantes domissanitários, materiais e equipamentos, referentes ao PREGÃO ELETRÔNICO Nº 109/2019, PROCESSO LICITATÓRIO No 0156.2019.CCPLE-V.PE.0109.SAD.FFPG-UPE.</t>
  </si>
  <si>
    <t>01562019CCPLEVPE0109SADFFPGUPE</t>
  </si>
  <si>
    <t>9º</t>
  </si>
  <si>
    <t>SEM ANUÊNCIA DA EMPRESA</t>
  </si>
  <si>
    <t>SIMPRESS COMÉRCIO LOCAÇÃO E SERVIÇOS LTDA</t>
  </si>
  <si>
    <t>07.432.517/0001-07</t>
  </si>
  <si>
    <t>Contratação de empresa especializada na prestação de serviços especializados de impressão, incluindo: locação de equipamentos (impressoras e multifuncionais); reposição de suprimentos (exceto papel); disponibilização de sistemas para gestão informatizada da solução; além de suporte técnico remoto e manutenção presencial (preventiva e corretiva) para atender às necessidades da Universidade de Pernambuco</t>
  </si>
  <si>
    <t>00142023PREGVIIPE0012SADATI</t>
  </si>
  <si>
    <t>26</t>
  </si>
  <si>
    <t>Clara Tobias (DTIC)</t>
  </si>
  <si>
    <t>José Jerônimo - DTIC</t>
  </si>
  <si>
    <t>Gestão de Terceirização em Serviços Seleção e Agenciamento de Mão de Obra
(ELETRICISTA)</t>
  </si>
  <si>
    <t>Prestação de serviços de mão de obra terceirizada, função eletricista, por um período de 12 meses, com disponibilização de equipamentos e utensílios necessários à adequada execução dos serviços, a fim de atender as demandas da Reitoria da Universidade de Pernambuco UPE, conforme disposições contidas no Termo de Referência, edital e respectivo anexos, do PROCESSO Nº 0062.2023, PREGÃO ELETRÔNICO Nº 0049.2023.</t>
  </si>
  <si>
    <t>00622023PREGXIVPE0049SAD</t>
  </si>
  <si>
    <t>JMF</t>
  </si>
  <si>
    <t>Gestão de Terceirização em Serviços Seleção e Agenciamento de Mão de Obra
(MANUTENÇÃO PREDIAL)
ITEP (ANTIGA FOP CIDADE UNIVERSITÁRIA)</t>
  </si>
  <si>
    <t>11.457.039/0001-59</t>
  </si>
  <si>
    <t>Prestação de serviços de Manutenção Predial, preventiva e corretiva, com disponibilização de equipamentos, ferramentas e utensílios, sem reposição e substituição de peças.</t>
  </si>
  <si>
    <t>30</t>
  </si>
  <si>
    <t>Rede Nacional de Ensino e Pesquisa - RNP
(LGPD)</t>
  </si>
  <si>
    <t>03.508.097/0001-36</t>
  </si>
  <si>
    <t>Prestação de serviço especializado de consultoria em TIC, consistente na estruturação de um Programa de Governança em Privacidade específico para a Contratante, a fim de permitir sua adequação à Leri Geral de Proteção de Dados - LGPD</t>
  </si>
  <si>
    <t>32022024CPLREITDL0079FESPUPE</t>
  </si>
  <si>
    <t>Paula Izabel Bezerra Rocha Wanderley</t>
  </si>
  <si>
    <t>DTEL Telecom LTDA
(SURUBIM)</t>
  </si>
  <si>
    <t>09.376.370/0001-00</t>
  </si>
  <si>
    <t>Prestação de serviço de acesso à INTERNET através de 01 (um) link de 1000 Mbps para a Fundação Universidade de Pernambuco - Unidade Surubim, dedicado e full duplex por empresa especializada e, devidamente autorizada pela ANATEL</t>
  </si>
  <si>
    <t>31812024CCDDL0075FESPUPE</t>
  </si>
  <si>
    <t>32</t>
  </si>
  <si>
    <t>Alberto dos Santos Júnior (DTIC)</t>
  </si>
  <si>
    <t>CASP Soluções Informática LTDA</t>
  </si>
  <si>
    <t>16.694.290/0001-50</t>
  </si>
  <si>
    <t>Prestação de serviços de desenvolvimento, manutenção corretiva e evolutiva, testes, documentação, integração e implantação de sistemas nos ambientes de desenvolvimento, homologação e produção, em multiplataforma de desenvolvimento e banco de dados</t>
  </si>
  <si>
    <t>32862024CCDDL0090FESPUPE</t>
  </si>
  <si>
    <t>33</t>
  </si>
  <si>
    <t>Arthur George (PRODEP)</t>
  </si>
  <si>
    <t xml:space="preserve"> Luciane Farias de Araújo (Profa. FOP)</t>
  </si>
  <si>
    <t>COMPANHIA EDITORA DE PERNAMBUCO - CEPE
(GESTÃO DOCUMENTAL)</t>
  </si>
  <si>
    <t>Serviços de digitalização dos dossiês dos servidores necessidades da Pró-Reitoria de Desenvolvimento de Pessoas (PRODEP) da Universidade de Pernambuco</t>
  </si>
  <si>
    <t>15582024AC12IN0157SAD</t>
  </si>
  <si>
    <t>35</t>
  </si>
  <si>
    <t>Patrícia Nery (PRODEP)</t>
  </si>
  <si>
    <t>SERVITIUM LTDA</t>
  </si>
  <si>
    <t>00.558.943/0001-34</t>
  </si>
  <si>
    <t>Prestação de serviços de jardinagem, a serem executados com regime de dedicação exclusiva de mão de obra</t>
  </si>
  <si>
    <t>06122024AC14PE0281SAD</t>
  </si>
  <si>
    <t>01</t>
  </si>
  <si>
    <t>MEDICAL HARBOUR APARELHOS MÉDICO-HOSPITALARES E SERVIÇOS DE TECNOLOGIA LTDA</t>
  </si>
  <si>
    <t>23.543.913/0001-50</t>
  </si>
  <si>
    <t>Contratação de assinatura anual para 600 acessos para a ferramenta BioAtlas Humano, da empresa Medical Harbour, para atendimento da Universidade de Pernambuco</t>
  </si>
  <si>
    <t>32242024CPLREITIN0018FESPUPE</t>
  </si>
  <si>
    <t>Cláudia Henriques (NBID)</t>
  </si>
  <si>
    <t>Cláudia Cristina (NBID)</t>
  </si>
  <si>
    <t>EBSCO BRASIL LTDA</t>
  </si>
  <si>
    <t>42.356.782/0001-46</t>
  </si>
  <si>
    <t>Assinatura da base de evidências médicas DynaMed, da EBSCO, para atendimento aos servidores, alunos, professores e médicos da Universidade de Pernambuco.</t>
  </si>
  <si>
    <t>01062022CPLREITIN0032FESPUPE</t>
  </si>
  <si>
    <t>46</t>
  </si>
  <si>
    <t>MINHA BIBLIOTECA LTDA</t>
  </si>
  <si>
    <t>13.183.749/0001-63</t>
  </si>
  <si>
    <t>Contratação de assinatura anual (licença de uso) de biblioteca digital (base de dados) de livros eletrônicos (e-books) MINHA BIBLIOTECA</t>
  </si>
  <si>
    <t>01802024CPLREITIN0005FESPUPE</t>
  </si>
  <si>
    <t>ASSOCIACAO PARANAENSE DE CULTURA
PERGAMUM</t>
  </si>
  <si>
    <t>76.659.820/0046-53</t>
  </si>
  <si>
    <t>Prestação do serviço de manutenção e suporte técnico do software PERGAMUM para atender o Núcleo de Gestão de Bibliotecas e Documentação (NBID)</t>
  </si>
  <si>
    <t>01282023CCDIN0018FESPUPE</t>
  </si>
  <si>
    <t>09</t>
  </si>
  <si>
    <t>Cáudia Cristina (NBID)</t>
  </si>
  <si>
    <t>PEARSON EDUCATION DO BRASIL LTDA</t>
  </si>
  <si>
    <t>01.404.158/0018-38</t>
  </si>
  <si>
    <t>Contratação de serviço de acesso à plataforma de livros eletrônicos, Biblioteca Virtual</t>
  </si>
  <si>
    <t>01302021CPLREITIN0016FESPUPE</t>
  </si>
  <si>
    <t>53286                                                              53288</t>
  </si>
  <si>
    <t>R$ 7.315,23                                                           R$ 29.260,93</t>
  </si>
  <si>
    <t>EMPRESA BRASILEIRA DE CORREIOS E TELÉGRAFOS - ETC</t>
  </si>
  <si>
    <t>34.028.316/0021-57</t>
  </si>
  <si>
    <t>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t>
  </si>
  <si>
    <t>00602020CCDDL0035FESPUPE</t>
  </si>
  <si>
    <t>15</t>
  </si>
  <si>
    <t>COMPANHIA EDITORA DE PERNAMBUCO - CEPE
(DIGITALIZAÇÃO)</t>
  </si>
  <si>
    <t>Prestação de serviços de digitalização de documentos, contemplando preparação, organização, traslado e armazenamento de documentos físicos e digitais, realização de gestão, incluindo a definição de rotinas de busca e recuperação dos documentos armazenados fisicamente, para atender as necessidades da Universidade de Pernambuco</t>
  </si>
  <si>
    <t>00482023AC22IN0005SAD</t>
  </si>
  <si>
    <t>24</t>
  </si>
  <si>
    <t>Ernani Martins dos Santos (PROGRAD)</t>
  </si>
  <si>
    <t>Cláudia Alves de Sena - PROGRAD</t>
  </si>
  <si>
    <t>MÁXXIMA EMPREENDIMENTOS LTDA
(FOP SANTO AMARO)</t>
  </si>
  <si>
    <t>07.534.634/0001-73</t>
  </si>
  <si>
    <t>SERVICO DE LOCACAO DE IMOVEL - TIPO PREDIO,LOCALIZADO NO BAIRRO DE SANTO AMARO, CIDADE RECIFE,COM AREA CONSTRUIDA DE 8.900,01 A 9.000,00M2.</t>
  </si>
  <si>
    <t>02442024CPLREITIN0001FESPUPE</t>
  </si>
  <si>
    <t>FATURA</t>
  </si>
  <si>
    <t>R$ 170.000,00                                       R$ 39.673,00</t>
  </si>
  <si>
    <t>MÁXXIMA EMPREENDIMENTOS LTDA
(REEMBOLSO REFORMA)
(FOP SANTO AMARO)</t>
  </si>
  <si>
    <t>BRASLUSO TURISMO LTDA</t>
  </si>
  <si>
    <t>09.480.880/0001-15</t>
  </si>
  <si>
    <t>Serviço de reserva, emissão e entrega de bilhetes aéreos para viagens nacionais e internacionais e demais serviços correlatos, através de disponibilização de sistema informatizado para atender às demandas da Reitoria da UPE.</t>
  </si>
  <si>
    <t>0471/2023AC60PE0405SAD</t>
  </si>
  <si>
    <t>20</t>
  </si>
  <si>
    <t>CPTEC SOLUCÕES EM TECNOLOGIA DA INFORMACÃO LTDA</t>
  </si>
  <si>
    <t>10.362.933/0001-82</t>
  </si>
  <si>
    <t>contratação de empresa especializada na prestação de solução 
integrada e gerenciada de software de proteção antivírus e antispyware (antimalware) visando
atender às demandas desta NCTI/UPE</t>
  </si>
  <si>
    <t>0093.2021.CCPLEVIII.PE.0087.SAD.ATI</t>
  </si>
  <si>
    <t>56</t>
  </si>
  <si>
    <t>Nº 002.2019.UPEREITORIA.001</t>
  </si>
  <si>
    <t>André César Wanderley Gomes  (DTIC)</t>
  </si>
  <si>
    <t>Ivo Luiz de Paula Ribeiro - DTIC</t>
  </si>
  <si>
    <t>Prestação de solução integrada e gerenciada de software de proteção antivírus e antispyware (antimalware), visando atender às demandas da Reitoria da UPE</t>
  </si>
  <si>
    <t>49</t>
  </si>
  <si>
    <t xml:space="preserve">Nº 002 AO TERMO DE ADESÃO 002.2019.UPEREITORIA.001
</t>
  </si>
  <si>
    <t>OI S.A. - EM RECUPERACAO JUDICIAL</t>
  </si>
  <si>
    <t>76.535.764/0001-43</t>
  </si>
  <si>
    <t>prestação de serviços técnicos especializados de implantação, operacionalização e manutenção de uma solução de telemática, com operação técnica integrada e especializada, para o Governo do Estado de Pernambuco e outros Poderes, formando a chamada REDE PE-CONECTADO II</t>
  </si>
  <si>
    <t>0226.2018.CEL.PE.0146.SAD</t>
  </si>
  <si>
    <t>002/SAD/SEADM</t>
  </si>
  <si>
    <t>ADENDO AO TERMO DE ADESÃO N° 002.2019.REITORIA.001</t>
  </si>
  <si>
    <t>Haroldo José da Costa (DTIC)</t>
  </si>
  <si>
    <t>Nº 0226.2018.CEL.PE.0146.SAD</t>
  </si>
  <si>
    <t>ADENDO AO TERMO DE ADESÃO N° 002.2020.REITORIA.001</t>
  </si>
  <si>
    <t>CLARO S.A.</t>
  </si>
  <si>
    <t>40.432.544/0001-47</t>
  </si>
  <si>
    <t>003/SAD/SEADM/2019</t>
  </si>
  <si>
    <t>ADENDO AO TERMO DE ADESÃO 003.2019.UPEREITORIA.001</t>
  </si>
  <si>
    <t>Patrícia Lopes (COORD. ADM)</t>
  </si>
  <si>
    <t>MAPROS LTDA</t>
  </si>
  <si>
    <t>08.980.641/0001-61</t>
  </si>
  <si>
    <t>Contratação direta da prestação de serviços de locação de 2 (dois) no-breaks, na Potência de 15kva para atender a necessidades do Datacenter da Diretoria de Tecnologia da Informação e  Comunicação da Reitoria-UPE</t>
  </si>
  <si>
    <t>0095.2023.CCD.DL0065.FESP-UPE</t>
  </si>
  <si>
    <t>DISPENSA DE LICITAÇÃO</t>
  </si>
  <si>
    <t>90 DIAS</t>
  </si>
  <si>
    <t>UNIVERSIDADE FEDERAL DE PERNAMBUCO - UFPE
(SIG@)</t>
  </si>
  <si>
    <t>24.134.488/0001-08</t>
  </si>
  <si>
    <t>Utilização da atual plataforma do Sistema de Informações e Gestão Acadêmica - SIG@, no âmbito da UPE, abrangendo os serviços de hospedagem, administração e gestão do ambiente operacional, implantação de novos módulos já implementados, capacitação de multiplicadores e manutenção do sistema</t>
  </si>
  <si>
    <t>0263.2024.CPL.REIT.IN.0002.FESP-UPE</t>
  </si>
  <si>
    <t>Cláudia Alves de Sena (PROGRAD)</t>
  </si>
  <si>
    <t>Roselene Rocha (PROGRAD)</t>
  </si>
  <si>
    <t>ABS TRANSPORTES E TURISMO</t>
  </si>
  <si>
    <t>02.355.633/0001-48</t>
  </si>
  <si>
    <t>Contratação emergencial para a prestação de Serviço de Locação de 03 (três) Veículos, por meio de Dispensa Eletrônica de Licitação com fundamento no art. 75, inc. VIII da Lei nº 14.133/21, visando atender as necessidades da Reitoria da Universidade de Pernambuco, pelo período de até 03 (três) meses</t>
  </si>
  <si>
    <t>39502025CCDUPECD0001FESPUPE</t>
  </si>
  <si>
    <t>DISPENSA EMERGENCIAL</t>
  </si>
  <si>
    <t>05</t>
  </si>
  <si>
    <t>MCR SISTEMAS E CONSULTORIA LTDA</t>
  </si>
  <si>
    <t>04.198.254/0001-17</t>
  </si>
  <si>
    <t>Fornecimento de licenças de software do tipo “AutoCAD LT”, com cessão para uso válida por 12 (doze) meses.</t>
  </si>
  <si>
    <t>3947.2025.CCDUPE.DL.0005.FESP-UPE</t>
  </si>
  <si>
    <t>Ligia Maria Souza Barros de Oliveira (ENGENHARIA)</t>
  </si>
  <si>
    <t>Silvia Maria da Costa Porto Menela - ENG</t>
  </si>
  <si>
    <t>LIQUIDADO EM PAGAMENTO ÚNICO</t>
  </si>
  <si>
    <t>SIEMENS HEALTHCARE DIAGNOSTICOS LTDA (TOMOGRAFIA)</t>
  </si>
  <si>
    <t>01.449.930/0006-02</t>
  </si>
  <si>
    <t>Fornecimento de aparelho de RESSONÂNCIA MAGNÉTICA e
aparelho de TOMOGRAFIA COMPUTADORIZADA POR RAIOS X</t>
  </si>
  <si>
    <t>0029.2023.CPL.REIT.PE.0011.FESP-UPE</t>
  </si>
  <si>
    <t>Maria Soares Albuquerque (PROCAPE)</t>
  </si>
  <si>
    <t>SIEMENS HEALTHCARE DIAGNOSTICOS LTDA (RESSONÂNCIA)</t>
  </si>
  <si>
    <t>CENTRO DE INTEGRAÇÃO EMPRESA ESCOLA DE
PERNAMBUCO - CIEE</t>
  </si>
  <si>
    <t>10.998.292/0001-57</t>
  </si>
  <si>
    <t>contratação de empresa especializada na prestação de serviços de agente de integração para operacionalização do Programa de Estágio Corporativo, visando atender as
necessidades da Universidade de Pernambuco, de acordo com as especificações e demais disposições contidas no Termo de Referência, referente ao PREGÃO ELETRÔNICO Nº 0037.SAD, PROCESSO Nº 0043.2023.PREG-XII.PE.0037.SAD.</t>
  </si>
  <si>
    <t>0043.2023.PREG-XII.PE.0037.SAD</t>
  </si>
  <si>
    <t>Ana Cláudia Lima (PRODEP)</t>
  </si>
  <si>
    <t>G S DE PAULA FIREWARE DIGITAL
(SAPIENS)</t>
  </si>
  <si>
    <t>50.388.009/0001-90</t>
  </si>
  <si>
    <t>Prestação de serviços de manutenção e desenvolvimento de novas funcionalidades no sistema de software SAPIENS, visando atender as necessidades da Universidade de Pernambuco.</t>
  </si>
  <si>
    <t>3076.2024.CPL.REIT.PE.0053.FESP-UPE</t>
  </si>
  <si>
    <t>Alexandre Magno (PROPEGI)</t>
  </si>
  <si>
    <t>Rodrigo de Paula Monteiro (PROPEGI)</t>
  </si>
  <si>
    <t>CONSTRUTORA AURÉLIO E SERVIÇOS LTDA</t>
  </si>
  <si>
    <t xml:space="preserve"> 19.703.302/0001-54</t>
  </si>
  <si>
    <t>execução das obras de Construção do Bloco de Salas de Aula e Administrativo para o EAD-Polo da UPE em Tabira</t>
  </si>
  <si>
    <t>0234.2023.CPL.REIT.CE.0001.FESP-UPE</t>
  </si>
  <si>
    <t>CONCORRÊNCIA ELETRÔNICA Nº
0001.2023</t>
  </si>
  <si>
    <t>José Luiz Vieira da Cruz (ENGENHARIA)</t>
  </si>
  <si>
    <t xml:space="preserve"> Franklin Andrade de Aguiar Vasconcelos - ENGENHARIA</t>
  </si>
  <si>
    <t>EP Engrenagem Produções e Serviços Ltda
(ELÉTRICA DO BLOCO D)</t>
  </si>
  <si>
    <t>04.614.627/0001-93</t>
  </si>
  <si>
    <t>Constitui objeto do presente CONTRATO a execução do serviço comum de engenharia de reforma elétrica do “Bloco D” da Reitoria da UPE, Campus Recife/PE, nas condições estabelecidas no ANEXO I – TERMO DE REFERÊNCIA, ANEXO II – ESPECIFICAÇÕES TÉCNICAS DOS SERVIÇOS, ANEXO III – PLANILHA ORÇAMENTÁRIA SEM DESONERAÇÃO, ANEXO III – COTAÇÃO, ANEXO IV – CRONOGRAMA FÍSICO-FINANCEIRO, ANEXO V – COMPOSIÇÃO DE PREÇOS, ANEXO VI – COMPOSIÇÃO DE BDI, ANEXO VII – ENCARGOS SOCIAIS, ANEXO VIII – PROJETOS, ANEXO IX – MEMÓRIA DE CÁLCULO, ANEXO X – ADMINISTRAÇÃO DA OBRA, na proposta da CONTRATADA e nos demais documentos constantes do processo relativo ao PREGÃO ELETRÔNICO Nº 0042.2024.</t>
  </si>
  <si>
    <t>2921.2024.CPL UPE EN.PE.0042.FESP-UPE</t>
  </si>
  <si>
    <t>29</t>
  </si>
  <si>
    <t>Elenilton Marques de Araújo - ENGENHARIA</t>
  </si>
  <si>
    <t>WC VIAGENS E TURISMO LTDA</t>
  </si>
  <si>
    <t>13.480.254/0001-04</t>
  </si>
  <si>
    <t>Prestação de serviços de reserva, emissão e entrega de bilhetes
aéreos para viagens nacionais e internacionais e demais serviços correlatos</t>
  </si>
  <si>
    <t>3391.2024.AC-03.PE.0819.SAD</t>
  </si>
  <si>
    <t>13</t>
  </si>
  <si>
    <r>
      <rPr>
        <rFont val="Roboto"/>
        <b/>
        <color rgb="FF000000"/>
        <sz val="12.0"/>
      </rPr>
      <t xml:space="preserve">NAVERA ENGENHARIA LTDA
</t>
    </r>
    <r>
      <rPr>
        <rFont val="Roboto"/>
        <b/>
        <color rgb="FF000000"/>
        <sz val="12.0"/>
      </rPr>
      <t>(CONFÚCIO)</t>
    </r>
  </si>
  <si>
    <t>33.358.693/0001-48</t>
  </si>
  <si>
    <t>Contratação de empresa de engenharia para execução dos SERVIÇOS DE IMPERMEABILIZAÇÃO DA COBERTA E REFORMA DAS SALAS 02 E 04 DO PRIMEIRO ANDAR DO ANEXO DO INSTITUTO CONFÚCIO</t>
  </si>
  <si>
    <t>1731.2024.CPL UPE EN.PE.0035.FESPUPE</t>
  </si>
  <si>
    <t>12</t>
  </si>
  <si>
    <t>Igor Lapsky da Costa Francisco (CONFÚCIO)</t>
  </si>
  <si>
    <t>JEFFERSON GABRIEL PIMENTEL LEITE DE OLIVEIRA - CONFÚCIO</t>
  </si>
  <si>
    <r>
      <rPr>
        <rFont val="Roboto"/>
        <b/>
        <color rgb="FF000000"/>
        <sz val="12.0"/>
      </rPr>
      <t xml:space="preserve">RENOVATION SERVIÇOS E MANUTENÇÃO PREDIAL LTDA
</t>
    </r>
    <r>
      <rPr>
        <rFont val="Roboto"/>
        <b/>
        <color rgb="FF000000"/>
        <sz val="12.0"/>
      </rPr>
      <t>(Campus Santo Amaro - Reforma das Calçadas)</t>
    </r>
  </si>
  <si>
    <t>28.198.456/0001-27</t>
  </si>
  <si>
    <t>Prestação de serviços de reforma da pavimentação do Campus Santo Amaro da UPE (ESEF e condomínio), nas condições
estabelecidas no Termo de Referência, na proposta da CONTRATADA e nos demais documentos constantes do processo relativo ao PREGÃO ELETRÔNICO No 2951.2024.CPL UPE EN.PE.0047.FESP-
UPE.</t>
  </si>
  <si>
    <t>2951.2024.CPL UPE EN.PE.0047.FESP-UPE</t>
  </si>
  <si>
    <t>Natália Alexandre de Holanda Cavalcanti - ENG</t>
  </si>
  <si>
    <t>SOLSERV SERVICOS LTDA</t>
  </si>
  <si>
    <t>14.056.350/0001-84</t>
  </si>
  <si>
    <t>Prestação de serviços de MOTORISTA, mediante a disponibilização de profissionais devidamente habilitados nas categorias “B”, “C” e “D”, para atender as demandas da Reitoria da UPE</t>
  </si>
  <si>
    <t>1621.2024.AC-79.PE.0474.SAD</t>
  </si>
  <si>
    <t>DRAGER DO BRASIL LTDA
(PROCAPE)</t>
  </si>
  <si>
    <t>61.185.922/0001-05</t>
  </si>
  <si>
    <t>Fornecimento de ventilador pulmonar para atender as necessidades do PROCAPE</t>
  </si>
  <si>
    <t>0268.2024.CPL.REIT.PE.0005.FESP-UPE</t>
  </si>
  <si>
    <t>APPROACH TECNOLOGIA LTDA</t>
  </si>
  <si>
    <t>24.376.542/0001-21</t>
  </si>
  <si>
    <t>contratação de empresa especializada parafornecimento de materiais (elementos de hardware e software) e serviços para a implantação de solução de hiperconvergência para atender ao NCTI Reitoria da UPE</t>
  </si>
  <si>
    <t>0007824-11.2021.6.15.8000</t>
  </si>
  <si>
    <t>59</t>
  </si>
  <si>
    <t>Rodrigo Gomes de Souza (DTIC)</t>
  </si>
  <si>
    <t>Rede Nacional de Ensino e Pesquisa - RNP
(Diploma Digital)</t>
  </si>
  <si>
    <t>Contratação sob a dispensa de licitação prevista no art. 75. inciso XV da Lei n. 14.133 de 2021, do serviço de tecnologia da informação denominado Diploma Digital, o qual permite o registro e a emissão de diplomas digitais de graduação e documentos auxiliares</t>
  </si>
  <si>
    <t>0239.2023.CPL.REIT.DL.0115.FESP-UPE</t>
  </si>
  <si>
    <r>
      <rPr>
        <rFont val="Roboto"/>
        <b/>
        <color rgb="FF000000"/>
        <sz val="12.0"/>
      </rPr>
      <t xml:space="preserve">S S SANEL SAUDE LTDA EPP
</t>
    </r>
    <r>
      <rPr>
        <rFont val="Roboto"/>
        <b/>
        <color rgb="FF000000"/>
        <sz val="12.0"/>
      </rPr>
      <t>(Dedetização - Reitoria)</t>
    </r>
  </si>
  <si>
    <t>20.160.797/0001-00</t>
  </si>
  <si>
    <t>SERVICO DE CONTROLE DE ANIMAIS E PRAGAS - Do tipo desinfestação de insetos rasteiros, Baratas, Escorpiões, Ratos e Cupins, com técnicas diversas, em áreas internas e externas. SERVICO DE CONTROLE DE ANIMAIS E PRAGAS - Do tipo prevenção de proliferação de pombos, com uso de gel repelente, em áreas internas e externas, marquises e coberta de todos os prédios da Reitoria da UPE.</t>
  </si>
  <si>
    <t>3971.2025.CCD UPE.DL.0013.FESPUPE</t>
  </si>
  <si>
    <t>16</t>
  </si>
  <si>
    <t>DEBORA MARIA DE FARIAS CAVALCANTI</t>
  </si>
  <si>
    <t>33.336.537/0001-86</t>
  </si>
  <si>
    <t>Prestação de Serviços Gráficos de Plotagem de Plantas e Projetos Diversos</t>
  </si>
  <si>
    <t>3964.2025.CCD UPE.DL.0011.FESPUPE</t>
  </si>
  <si>
    <t>MBM SEGURADORA</t>
  </si>
  <si>
    <t>87.883.807/0001-06</t>
  </si>
  <si>
    <t>Prestação de serviços de Cobertura Securitária Seguro de Vida em Grupo e Contra Acidentes Pessoais Coletivos para os estudantes com estágios obrigatórios da Universidade de Pernambuco - Campus Caruaru</t>
  </si>
  <si>
    <t>3961.2025.CCD UPE.DL.0009.FESP-UPE</t>
  </si>
  <si>
    <t>Mirele Moutinho Lima (CARUARU)</t>
  </si>
  <si>
    <t>0001/25</t>
  </si>
  <si>
    <t>EFICAZ SERVIÇOS E TERCEIRIZACÕES LTDA
(DEDETIZAÇÃO)</t>
  </si>
  <si>
    <t>10.286.009/0001-64</t>
  </si>
  <si>
    <t>CONTRATAÇÃO DE EMPRESA ESPECIALIZADA EM SERVIÇOS DE CONTROLE DE ANIMAIS E PRAGAS DO TIPO DESINFESTAÇÃO, PREVENÇÃO DE POMBOS</t>
  </si>
  <si>
    <t>0377.2024.CCD.DL.0006.FESP-UPE</t>
  </si>
  <si>
    <t>EMPENHO</t>
  </si>
  <si>
    <t>W DE AMORIM ROZENDO COMÉRCIO E SERVIÇOS
(LIMPEZA CAIXA D'AGUA)</t>
  </si>
  <si>
    <t>41.781.662/0001-23</t>
  </si>
  <si>
    <t>SERVIÇOS DE LIMPEZA E ANALISE BACTERIOLOGICA DAS CX DE AGUA/RESERVATORIO.</t>
  </si>
  <si>
    <t>PHILIPS MEDICAL SYSTEMS LTDA
(HEMODINÂMICA)</t>
  </si>
  <si>
    <t>58.295.213/0021-11</t>
  </si>
  <si>
    <t>fornecimento de SISTEMAS DE HEMODINÂMICA</t>
  </si>
  <si>
    <t>SEC NOR DISTRIBUIDORA DE PUBLICACOES LTDA ME</t>
  </si>
  <si>
    <t>01.592.950/0001-15</t>
  </si>
  <si>
    <t>CONTRATAÇÃO DE EMPRESA ESPECIALIZADA PRESTAÇÃO DE SERVIÇOS ADVOCATICIOS DE INFORMAÇÕES FORENSES, RELATIVO AO EXERCÍCIO DE 2025</t>
  </si>
  <si>
    <t>0042.2020.CCD.DL.0023.FESP-UPE</t>
  </si>
  <si>
    <t>Sabine Raquel (PROJUR)</t>
  </si>
  <si>
    <t xml:space="preserve"> REDE NACIONAL DE ENSINO E PESQUISA - RNP</t>
  </si>
  <si>
    <t>Contratação que consistente no provisionamento, configuração, suporte, manutenção e gestão do serviço de colaboração em nuvem, associada aos serviços de colaboração e produtividade de e-mail, ferramenta de videoconferência e pacote de Software de Escritório e Armazenamento, denominado Google Workspace for Education - Edição Plus.</t>
  </si>
  <si>
    <t>3977.2025.CPL.REIT.DL.0017.FESP-UPE</t>
  </si>
  <si>
    <t>CS BRASIL FROTAS S.A</t>
  </si>
  <si>
    <t>27.595.780/0001-16</t>
  </si>
  <si>
    <t>CONTRATAÇÃO DE PRESTAÇÃO DE SERVIÇOS DE LOCAÇÃO DE VEÍCULOS, CLASSIFICAÇÃO VS-1, VISANDO ATENDER AS NECESSIDADES DA UNIVERSIDADE DE PERNAMBUCO, DE ACORDO COM AS ESPECIFICAÇÕES E DEMAIS DISPOSIÇÕES CONTIDAS NO TERMO DE REFERÊNCIA.</t>
  </si>
  <si>
    <t>0475.2024.AC-07.PE.0200.SAD</t>
  </si>
  <si>
    <t>Fatura</t>
  </si>
  <si>
    <t>AS SYSTEMS</t>
  </si>
  <si>
    <t>87.883.807/0001-06
17.141.331/0001-44</t>
  </si>
  <si>
    <t>SERVICO DE MANUTENCAO EM EQUIPAMENTO DE SEGURANCA - DO TIPO MANUTENCAO EM EQUIPAMENTO DE SEGURANCA TIPO ANTENA DE SISTEMA ANTI-FURTO, APARELHO ATIVADOR E DESATIVADOR DE ALARME COM REPOSICAO DE PECAS.</t>
  </si>
  <si>
    <t>3983.2025.CCD UPE.DL.0022.FESP-UPE</t>
  </si>
  <si>
    <t xml:space="preserve">FWD INSTALAÇÕES LTDA
LOTE 1 - ESEF, FENSG, FCM Sede, ICB Sede, FOP Clínicas – Campus Saúde
</t>
  </si>
  <si>
    <t>21.332.764/0001-54</t>
  </si>
  <si>
    <r>
      <rPr>
        <rFont val="Roboto"/>
        <color rgb="FF000000"/>
        <sz val="12.0"/>
      </rPr>
      <t xml:space="preserve">Prestação dos serviços de engenharia para implantação do Sistema de Prevenção e Combate a Incêndios (SPCI), Iluminação de emergência, Detecção e Alarme atendendo a Norma Regulamentadora NR 23 – Proteção Contra Incêndios e ao Código de Segurança Contra Incêndio e Pânico (COSCIP), do estado de PERNAMBUCO
</t>
    </r>
    <r>
      <rPr>
        <rFont val="Roboto"/>
        <b/>
        <color rgb="FF000000"/>
        <sz val="9.0"/>
      </rPr>
      <t>LOTE 1 - Unidades: ESEF, FENSG, FCM Sede, ICB Sede, FOP Clínicas – Campus Saúde - Rua Arnóbio Marques, nº310, Bairro Santo Amaro - RECIFE-PE.</t>
    </r>
  </si>
  <si>
    <t>3945.2025.CPL UPE
EN.PE.0006.FESP-UPE</t>
  </si>
  <si>
    <t>PREGAO ELETRONICO</t>
  </si>
  <si>
    <t>Hely Cabral Pires Filho (ENG - HUOC)</t>
  </si>
  <si>
    <t>FWD INSTALAÇÕES LTDA
LOTE 2 - Petrolina - Arcoverde - Salgueiro</t>
  </si>
  <si>
    <r>
      <rPr>
        <rFont val="Roboto"/>
        <color rgb="FF000000"/>
        <sz val="12.0"/>
      </rPr>
      <t xml:space="preserve">Prestação dos serviços de engenharia para implantação do Sistema de Prevenção e Combate a Incêndios (SPCI), Iluminação de emergência, Detecção e Alarme atendendo a Norma Regulamentadora NR 23 – Proteção Contra Incêndios e ao Código de Segurança Contra Incêndio e Pânico (COSCIP), do estado de PERNAMBUCO
</t>
    </r>
    <r>
      <rPr>
        <rFont val="Roboto"/>
        <b/>
        <color rgb="FF000000"/>
        <sz val="9.0"/>
      </rPr>
      <t>LOTE 2 - Petrolina (BR 203, Km 2 s/nº- Vila Eduardo-Petrolina-Pernambuco) - Arcoverde (Rua Cicero Monteiro de Melo, s/nº, Bairro São Cristóvão, Arcoverde-Pernambuco) - Salgueiro (Rua Veremungo Soares – Zona Rural – Salgueiro-Pernambuco).</t>
    </r>
  </si>
  <si>
    <t xml:space="preserve">FWD INSTALAÇÕES LTDA
LOTE 4 - Campus Mata Norte da UPE
</t>
  </si>
  <si>
    <r>
      <rPr>
        <rFont val="Roboto"/>
        <color rgb="FF000000"/>
        <sz val="12.0"/>
      </rPr>
      <t xml:space="preserve">Prestação dos serviços de engenharia para implantação do Sistema de Prevenção e Combate a Incêndios (SPCI), Iluminação de emergência, Detecção e Alarme atendendo a Norma Regulamentadora NR 23 – Proteção Contra Incêndios e ao Código de Segurança Contra Incêndio e Pânico (COSCIP), do estado de PERNAMBUCO
</t>
    </r>
    <r>
      <rPr>
        <rFont val="Roboto"/>
        <b/>
        <color rgb="FF000000"/>
        <sz val="9.0"/>
      </rPr>
      <t>LOTE 4 - Campus Mata Norte da UPE - Rua Amaro Maltês de Farias, nº201 - Centro Nazaré da Mata.</t>
    </r>
  </si>
  <si>
    <t>Natália Alexandre de Holanda Cavalcanti (ENG)</t>
  </si>
  <si>
    <t xml:space="preserve">FWD INSTALAÇÕES LTDA
LOTE 5 - Campus Garanhuns da UPE
</t>
  </si>
  <si>
    <r>
      <rPr>
        <rFont val="Roboto"/>
        <color rgb="FF000000"/>
        <sz val="12.0"/>
      </rPr>
      <t xml:space="preserve">Prestação dos serviços de engenharia para implantação do Sistema de Prevenção e Combate a Incêndios (SPCI), Iluminação de emergência, Detecção e Alarme atendendo a Norma Regulamentadora NR 23 – Proteção Contra Incêndios e ao Código de Segurança Contra Incêndio e Pânico (COSCIP), do estado de PERNAMBUCO
</t>
    </r>
    <r>
      <rPr>
        <rFont val="Roboto"/>
        <b/>
        <color rgb="FF000000"/>
        <sz val="9.0"/>
      </rPr>
      <t>LOTE 5 - Campus Garanhuns da UPE - Rua Capitão Pedro Rodrigues, Bairro São José, Garanhuns-Pernambuco.</t>
    </r>
  </si>
  <si>
    <t>Elenilton Marques de Araújo (ENGENHARIA)</t>
  </si>
  <si>
    <t>JME ENGENHARIA LTDA
LOTE 3 - Campus Benfica – POLI E FCAP</t>
  </si>
  <si>
    <t>24.061.780/0001-48</t>
  </si>
  <si>
    <r>
      <rPr>
        <rFont val="Roboto"/>
        <color rgb="FF000000"/>
        <sz val="12.0"/>
      </rPr>
      <t xml:space="preserve">Prestação dos serviços de engenharia para implantação do Sistema de Prevenção e Combate a Incêndios (SPCI), Iluminação de emergência, Detecção e Alarme atendendo a Norma Regulamentadora NR 23 – Proteção Contra Incêndios e ao Código de Segurança Contra Incêndio e Pânico (COSCIP), do estado de PERNAMBUCO
</t>
    </r>
    <r>
      <rPr>
        <rFont val="Roboto"/>
        <b/>
        <color rgb="FF000000"/>
        <sz val="9.0"/>
      </rPr>
      <t>LOTE 3 - UPE Campus Benfica – Escola Politécnica de Pernambuco (POLI/UPE) e Faculdade de Ciências da Administração e Direito (FCAP/UPE)</t>
    </r>
  </si>
  <si>
    <t>3945.2025.CPL UPE EN.PE.0006.FESP-UPE</t>
  </si>
  <si>
    <t>Eliane Dourado de Barros Lima (POLI)</t>
  </si>
  <si>
    <t>Fabia Kamilly Gomes de Andrade (ENG - POLI)</t>
  </si>
  <si>
    <t>INOVACAO TECNOLOGICA DO SERTAO DE ITAPARICA LTDA
CARUARU</t>
  </si>
  <si>
    <t>42.881.170/0001-72</t>
  </si>
  <si>
    <t>Fornecimento de 540 garrafões de água mineral para o Campus Caruaru</t>
  </si>
  <si>
    <t xml:space="preserve"> 3305.2024.CPL.REIT.PE.0064.FESP-UPE</t>
  </si>
  <si>
    <t>ADESAO A ATA OU CONTRATOS CORPORATIVOS</t>
  </si>
  <si>
    <t>Robson Góes de Carvalho (CARUARU)</t>
  </si>
  <si>
    <t>Daniel Alves de Oliveira Filho (CARUARU)</t>
  </si>
  <si>
    <t>SEC NOR DISTRIBUIDORA DE PUBLICAÇÕES</t>
  </si>
  <si>
    <t>4040.2025.CCDPE.DL.0049.FESP-UPE</t>
  </si>
  <si>
    <t>FPS PRESTADORA DE SERVIÇOS LTDA
CARUARU</t>
  </si>
  <si>
    <t>11.022.597/0001-91</t>
  </si>
  <si>
    <t>Prestação de serviços de limpeza e conservação predial, com a disponibilização de mão de obra, produtos saneantes domissanitários referente a dois postos para atender as necessidades da do Campus Caruaru</t>
  </si>
  <si>
    <t>0587.2024.AC-63.PE.0268.SAD-UPE</t>
  </si>
  <si>
    <t>RA DE OLIVEIRA Q. DA SILVEIRA SERVIÇOS
LIMPEZA DE CAIXA D'ÁGUA - REITORIA</t>
  </si>
  <si>
    <t>12.900.307/0001-28</t>
  </si>
  <si>
    <t xml:space="preserve">CONTRATAÇÃO DE EMPRESA ESPECIALIZADA EM SERV LIMPEZA E ANÁLISE BACTERIOLÓGICA E FISICO QUIMICA CAIXAS DE ÁGUA DA REITORIA e do INST. CONFUCIO
</t>
  </si>
  <si>
    <t xml:space="preserve">4010.2025.CCD UPE.DL.0035.FESPUPE
</t>
  </si>
  <si>
    <t>RA DE OLIVEIRA Q. DA SILVEIRA SERVIÇOS
LIMPEZA DE CAIXA D'ÁGUA - CONFÚCIO</t>
  </si>
  <si>
    <t>IPCOMM TECNOLOGIA LTDA</t>
  </si>
  <si>
    <t>03.675.338/0001-31</t>
  </si>
  <si>
    <t>Aquisição de 05 licenças do software Office 365 A3 visando atender às necessidades do Campus Caruaru/UPE</t>
  </si>
  <si>
    <t>4034.2025.CCD UPE.DL.0045.FESP-UPE</t>
  </si>
  <si>
    <t>Fornecimento de Equipamentos Médico Hospitalares através do Convênio Nº 891078/2019 visando atender as necessidades do Hospital Universitário Oswaldo Cruz - HUOC/UPE.  (VENTILADOR PULMONAR, ULTRA-SONOGRAFO)</t>
  </si>
  <si>
    <t xml:space="preserve"> 2869.2024.CPL.REIT.PE.0040.FESP-UPE</t>
  </si>
  <si>
    <r>
      <rPr>
        <rFont val="Roboto"/>
        <b/>
        <color rgb="FF000000"/>
        <sz val="12.0"/>
      </rPr>
      <t xml:space="preserve">ENGEMAIA &amp; CIA LTDA
</t>
    </r>
    <r>
      <rPr>
        <rFont val="Roboto"/>
        <b/>
        <color rgb="FF000000"/>
        <sz val="12.0"/>
      </rPr>
      <t>(Poda de Árvores)</t>
    </r>
  </si>
  <si>
    <t>00.449.936/0001-02.</t>
  </si>
  <si>
    <r>
      <rPr>
        <rFont val="Roboto"/>
        <color rgb="FF000000"/>
        <sz val="12.0"/>
      </rPr>
      <t>Eventual prestação de serviços de podação de árvores com remoção de resíduos para atender aos órgãos participantes indicados no item 2 da ARP. Vigência: 12 meses.</t>
    </r>
    <r>
      <rPr>
        <rFont val="Roboto"/>
        <b/>
        <color rgb="FF000000"/>
        <sz val="12.0"/>
      </rPr>
      <t xml:space="preserve"> ARP No 01/2024.</t>
    </r>
  </si>
  <si>
    <t>1582.2024.CPL.REIT. PE.0024.FESP-UPE.</t>
  </si>
  <si>
    <t>ARP UPE 01</t>
  </si>
  <si>
    <t>ARP UPE (CPL - COMPRAS)</t>
  </si>
  <si>
    <t>COMPESA - COMPANHIA PERNAMBUCANA DE SANEAMENTO
(REITORIA)</t>
  </si>
  <si>
    <t>09.769.035/0001-64</t>
  </si>
  <si>
    <t>Constui o objeto do presente instrumento, a prestação e a ulização dos serviços públicos de abastecimento de água e esgotamento sanitário, de acordo com as condições gerais estabelecidas no Regulamento Geral do Fornecimento de Água e da Coleta de Esgotos, aprovado pelo Decreto Estadual nº. 18.251/94, observada a legislação aplicável.</t>
  </si>
  <si>
    <t>3968.2025.CPL.REIT.IN.0002.FESP-UPE</t>
  </si>
  <si>
    <t>COMPESA - COMPANHIA PERNAMBUCANA DE SANEAMENTO
(INSTITUTO CONFÚCIO)</t>
  </si>
  <si>
    <t>COMPESA - COMPANHIA PERNAMBUCANA DE SANEAMENTO
(INSTITUTO DE INOVAÇÃO TECNOLÓGICA)</t>
  </si>
  <si>
    <t>COMPESA - COMPANHIA PERNAMBUCANA DE SANEAMENTO
(FOP/UPE - Av. Norte)</t>
  </si>
  <si>
    <t>NEOENERGIA
REITORIA</t>
  </si>
  <si>
    <t>10.835.932/0001-08</t>
  </si>
  <si>
    <t>FORNECEIMENTO DE ENERGIA ELÉTRICA - CÓDIGO DO CLIENTE
7006906448</t>
  </si>
  <si>
    <t>NEOENERGIA
FOP CAMARAGIBE</t>
  </si>
  <si>
    <t>FORNECEIMENTO DE ENERGIA ELÉTRICA - CÓDIGO DO CLIENTE
7046810109</t>
  </si>
  <si>
    <t>LUCIANO BEZERRA DA SILVA - ME</t>
  </si>
  <si>
    <t>01.098.180/0001-59</t>
  </si>
  <si>
    <t>prestação de serviços de confecção de serviços gráficos e reprográfico para atender as necessidades da Unidades da UPE</t>
  </si>
  <si>
    <t>1732.2024.CPL.REIT.PE.0036.FESP-UPE</t>
  </si>
  <si>
    <t>ARP UPE 10</t>
  </si>
  <si>
    <r>
      <rPr>
        <rFont val="Roboto"/>
        <b/>
        <color rgb="FF000000"/>
        <sz val="12.0"/>
      </rPr>
      <t xml:space="preserve">SECO AMBIENTAL, SERVIÇOS, PESQUISAS E CONSTRUTORA LTDA
</t>
    </r>
    <r>
      <rPr>
        <rFont val="Roboto"/>
        <b/>
        <color rgb="FF000000"/>
        <sz val="12.0"/>
      </rPr>
      <t>(Dedetização - Confúcio)</t>
    </r>
  </si>
  <si>
    <t>33.614.013/0001-00</t>
  </si>
  <si>
    <t>SERVICO DE CONTROLE DE ANIMAIS E PRAGAS - Do tipo desinfestação de insetos rasteiros, Baratas, Escorpiões, Ratos e Cupins, com técnicas diversas, em áreas internas e externas.</t>
  </si>
  <si>
    <t>LEXON SERVICOS &amp; CONSTRUTORA EMPREENDIMENTOS</t>
  </si>
  <si>
    <t>07.191.777/0001-20</t>
  </si>
  <si>
    <t>Contratação de empresa de engenharia para execução da Construção de muro, alambrado, guarita, abrigo de lixo e urbanização do Polo da UPE em Tabira.</t>
  </si>
  <si>
    <t xml:space="preserve"> 3957.2025.CPL UPE EN.CE.0004.FESP-UPE</t>
  </si>
  <si>
    <t>LIDER NOTEBOOKS COMERCIO E SERVICOS LTDA</t>
  </si>
  <si>
    <t xml:space="preserve">0040610064.000039/2023-13
</t>
  </si>
  <si>
    <t>MICROCOMPUTADOR - DO TIPO DESKTOP</t>
  </si>
  <si>
    <t>ADESÃO À ATA OU CONTRATOS CORPORATIVOS</t>
  </si>
  <si>
    <t xml:space="preserve">NEWMED LTDA </t>
  </si>
  <si>
    <t>ELETROCARDIOGRAFO - PORTATIL</t>
  </si>
  <si>
    <t>0266.2024.CPL.REIT.PE.0003.FESP-UPE</t>
  </si>
  <si>
    <t>GETINGE DO BRASIL LTDA.</t>
  </si>
  <si>
    <t>06.028.137/0002-11</t>
  </si>
  <si>
    <t>BALAO INTRA-AORTICO</t>
  </si>
  <si>
    <t>RM TERCEIRIZACAO E GESTAO DE RECURSOS HUMANOS LTDA
(Recepcionista Caruaru)</t>
  </si>
  <si>
    <t>SERVICO DE PRESTACAO DE MAO DE OBRA - DO TIPO RECEPCIONISTA,NIVEL MEDIO COM CONHECIMENTO BASICO EM INFORMATICA, POSTO DE 44 HORAS SEMANAIS,TURNO DIURNO,SEGUNDA A SEXTA</t>
  </si>
  <si>
    <t>0609.2024.AC-78.PE.0278.SAD</t>
  </si>
  <si>
    <t>ADESAO A ATA OU CONTRATOS CORPORATIVO</t>
  </si>
  <si>
    <t>FORALL ASSINATURAS E LIVROS LTDA - WebDewey</t>
  </si>
  <si>
    <t>87.140.307/0001-76</t>
  </si>
  <si>
    <t>Contratação da assinatura da base de dados WebDewey, da Online Computer Library Center (OCLC) por meio de Inexigibilidade de licitação com fundamento no art. 74, inc. I da Lei nº 14.133/21, visando atender as necessidades do Núcleo de Gestão de Bibliotecas da UPE</t>
  </si>
  <si>
    <t>3993.2025.CCD UPE.DL.0004.FESP-UPE</t>
  </si>
  <si>
    <t>VITOR E BUONO LTDA</t>
  </si>
  <si>
    <t>43.223.890/00001-03</t>
  </si>
  <si>
    <t>Fornecimento de torno mecânico paralelo universal para Escola Politécnica de Pernambuco – POLI/UPE</t>
  </si>
  <si>
    <t>0366.2024.CPL.REIT.PE.0014.FESP-UPE</t>
  </si>
  <si>
    <t>PATRIMÔNIO POLI</t>
  </si>
  <si>
    <t>SRD - TECNOLOGIA E INFORMACAO CIENTIFICA LTDA</t>
  </si>
  <si>
    <t>18.042.370/0001-57</t>
  </si>
  <si>
    <t>LICENCA DE USO DE SOFTWARE - DE DADOS E INDICADORES PARA AVALIACAO DE RESULTADOS DOS PROGRAMAS DE FOMENTO A PESQUISA E A INOVACAO</t>
  </si>
  <si>
    <t>4062.2025.CCDUPE.IN.0017.FESP-UPE</t>
  </si>
  <si>
    <t xml:space="preserve"> Betty Rose de Araújo Luz</t>
  </si>
  <si>
    <t>ALFORGE SEGURANCA PATRIMONIAL LTDA
CARUARU</t>
  </si>
  <si>
    <t>Prestação de serviços de Vigilância Armada, a serem
executados com regime de dedicação exclusiva de mão de obra na UPE Campus Caruaru</t>
  </si>
  <si>
    <t>1426.2024.AC-36PE.352.SAD</t>
  </si>
  <si>
    <t>GE HEALTHCARE DO BRASIL COMERCIO E SERVICOS PARA EQUIPAMENTOS MEDICO</t>
  </si>
  <si>
    <t>00.029.372/0002-21</t>
  </si>
  <si>
    <t>ECOCARDIOGRAFO - EQUIPAMENTO DIGITAL, IMAGEM DE ALTA DEFINICAO,OPCOES DE CRIACOES DE PROTOCOLOS,DEMAIS INFORMACOES EM EDITAL,ASSISTENCIA TECNICA EM PERNAMBUCO, GARANTIA MINIMA DE 1 ANO, REGISTRO NA ANVISAMarca:NENHUMA MARCA REGISTRADA</t>
  </si>
  <si>
    <t>0243.2024.CPL.REIT.PE.0001.FESP-UPE</t>
  </si>
  <si>
    <t>SIG SOFTWARE &amp; CONSULTORIA EM TECNOLOGIA DA INFORMACAO
LTDA</t>
  </si>
  <si>
    <t>13.406.686/0001-67</t>
  </si>
  <si>
    <r>
      <rPr>
        <rFont val="Roboto"/>
        <color rgb="FF000000"/>
        <sz val="12.0"/>
      </rPr>
      <t>Prestação de serviços continuados em Tecnologia da Informação, para customização, sustentação e suporte técnico dos Sistemas SIG-UFRN (</t>
    </r>
    <r>
      <rPr>
        <rFont val="Roboto"/>
        <b/>
        <color rgb="FF000000"/>
        <sz val="12.0"/>
      </rPr>
      <t>SIGAA</t>
    </r>
    <r>
      <rPr>
        <rFont val="Roboto"/>
        <color rgb="FF000000"/>
        <sz val="12.0"/>
      </rPr>
      <t xml:space="preserve"> e ORBITAIS), por meio de Inexigibilidade de Licitação. com fundamento no art. 74, inc. I da Lei nº 14.133/21, a fim de atender às necessidades da Universidade de Pernambuco</t>
    </r>
  </si>
  <si>
    <t>4057.2025.CPL.REIT.IN.0016.FESP-UPE</t>
  </si>
  <si>
    <t>Contratação de serviço de assinatura da base de dados de livros eletrônicos BIBLIOTECA VIRTUAL da PEARSON EDUCATION DO BRASIL LTDA, por meio de Inexigibilidade de licitação com fundamento no art. 74, inc. I da Lei nº 14.133/21, visando atender as necessidades do Núcleo de Gestão de Bibliotecas da UPE, conforme as condições, especificações, quantidades e exigências contidas neste Termo de Referência.</t>
  </si>
  <si>
    <t>4092.2025.CPL.REIT.IN.0022.FESP-UPE</t>
  </si>
  <si>
    <t xml:space="preserve">Rede Nacional de Ensino e Pesquisa - RNP - prestação de serviço de SOC (Security Operations Center) RNP - Intermediário	</t>
  </si>
  <si>
    <t>GETINGE DO BRASIL EQUIPAMENTOS MEDICOS LTDA</t>
  </si>
  <si>
    <t xml:space="preserve"> AQUISIÇÃO DE BALÃOINTRA-AÓRTICO, BATERIA, MALETA, CILINDRO, KIT.SIMULADOR P/
ATENDER O PROCAPE/UPE, COM RECURSOS DO CONVÊNIO 943902/2023 </t>
  </si>
  <si>
    <t>0269.2024.CPL.REIT.PE.0006.FESP-UPE</t>
  </si>
  <si>
    <t>PREGÃO ELETRONICO</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</si>
</sst>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 &quot;[$R$-416]&quot; &quot;#,##0.00&quot; &quot;;&quot;-&quot;[$R$-416]&quot; &quot;#,##0.00&quot; &quot;;&quot; &quot;[$R$-416]&quot; -&quot;00&quot; &quot;;&quot; &quot;@&quot; &quot;"/>
    <numFmt numFmtId="165" formatCode="[$R$ -416]#,##0.00"/>
    <numFmt numFmtId="166" formatCode="dd/MM/yyyy"/>
    <numFmt numFmtId="167" formatCode="d/m/yyyy"/>
    <numFmt numFmtId="168" formatCode="d/m/yy"/>
  </numFmts>
  <fonts count="18">
    <font>
      <sz val="11.0"/>
      <color rgb="FF000000"/>
      <name val="Calibri"/>
      <scheme val="minor"/>
    </font>
    <font>
      <b/>
      <sz val="12.0"/>
      <color rgb="FFFFFFFF"/>
      <name val="Roboto"/>
    </font>
    <font>
      <b/>
      <sz val="14.0"/>
      <color rgb="FFFFFFFF"/>
      <name val="Roboto"/>
    </font>
    <font>
      <b/>
      <sz val="18.0"/>
      <color rgb="FF000000"/>
      <name val="Roboto"/>
    </font>
    <font>
      <b/>
      <sz val="18.0"/>
      <color theme="1"/>
      <name val="Roboto"/>
    </font>
    <font>
      <b/>
      <sz val="12.0"/>
      <color theme="1"/>
      <name val="Roboto"/>
    </font>
    <font>
      <b/>
      <sz val="12.0"/>
      <color rgb="FF000000"/>
      <name val="Roboto"/>
    </font>
    <font>
      <sz val="11.0"/>
      <color rgb="FF000000"/>
      <name val="Roboto"/>
    </font>
    <font>
      <sz val="12.0"/>
      <color rgb="FF000000"/>
      <name val="Roboto"/>
    </font>
    <font>
      <b/>
      <sz val="18.0"/>
      <color rgb="FFFFFFFF"/>
      <name val="Roboto"/>
    </font>
    <font>
      <b/>
      <sz val="14.0"/>
      <color rgb="FF000000"/>
      <name val="Roboto"/>
    </font>
    <font>
      <u/>
      <sz val="12.0"/>
      <color rgb="FF000000"/>
      <name val="Roboto"/>
    </font>
    <font>
      <b/>
      <sz val="12.0"/>
      <color rgb="FFFF0000"/>
      <name val="Roboto"/>
    </font>
    <font>
      <sz val="11.0"/>
      <color rgb="FF000000"/>
      <name val="Arial"/>
    </font>
    <font>
      <sz val="11.0"/>
      <color theme="1"/>
      <name val="Roboto"/>
    </font>
    <font>
      <sz val="12.0"/>
      <color theme="1"/>
      <name val="Roboto"/>
    </font>
    <font>
      <sz val="12.0"/>
      <color rgb="FFFFFFFF"/>
      <name val="Roboto"/>
    </font>
    <font>
      <b/>
      <sz val="11.0"/>
      <color rgb="FF000000"/>
      <name val="Roboto"/>
    </font>
  </fonts>
  <fills count="16">
    <fill>
      <patternFill patternType="none"/>
    </fill>
    <fill>
      <patternFill patternType="lightGray"/>
    </fill>
    <fill>
      <patternFill patternType="solid">
        <fgColor rgb="FF1C3C77"/>
        <bgColor rgb="FF1C3C77"/>
      </patternFill>
    </fill>
    <fill>
      <patternFill patternType="solid">
        <fgColor rgb="FFFF5100"/>
        <bgColor rgb="FFFF5100"/>
      </patternFill>
    </fill>
    <fill>
      <patternFill patternType="solid">
        <fgColor rgb="FFFFFF00"/>
        <bgColor rgb="FFFFFF00"/>
      </patternFill>
    </fill>
    <fill>
      <patternFill patternType="solid">
        <fgColor rgb="FFFFFFFF"/>
        <bgColor rgb="FFFFFFFF"/>
      </patternFill>
    </fill>
    <fill>
      <patternFill patternType="solid">
        <fgColor rgb="FF666666"/>
        <bgColor rgb="FF666666"/>
      </patternFill>
    </fill>
    <fill>
      <patternFill patternType="solid">
        <fgColor theme="0"/>
        <bgColor theme="0"/>
      </patternFill>
    </fill>
    <fill>
      <patternFill patternType="solid">
        <fgColor rgb="FFF1C232"/>
        <bgColor rgb="FFF1C232"/>
      </patternFill>
    </fill>
    <fill>
      <patternFill patternType="solid">
        <fgColor rgb="FFFB2AB9"/>
        <bgColor rgb="FFFB2AB9"/>
      </patternFill>
    </fill>
    <fill>
      <patternFill patternType="solid">
        <fgColor rgb="FFCC0000"/>
        <bgColor rgb="FFCC0000"/>
      </patternFill>
    </fill>
    <fill>
      <patternFill patternType="solid">
        <fgColor rgb="FFFFD966"/>
        <bgColor rgb="FFFFD966"/>
      </patternFill>
    </fill>
    <fill>
      <patternFill patternType="solid">
        <fgColor rgb="FF1E3D78"/>
        <bgColor rgb="FF1E3D78"/>
      </patternFill>
    </fill>
    <fill>
      <patternFill patternType="solid">
        <fgColor rgb="FFFF00FF"/>
        <bgColor rgb="FFFF00FF"/>
      </patternFill>
    </fill>
    <fill>
      <patternFill patternType="solid">
        <fgColor rgb="FF00FFFF"/>
        <bgColor rgb="FF00FFFF"/>
      </patternFill>
    </fill>
    <fill>
      <patternFill patternType="solid">
        <fgColor rgb="FFFFAD00"/>
        <bgColor rgb="FFFFAD00"/>
      </patternFill>
    </fill>
  </fills>
  <borders count="11">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top style="thin">
        <color rgb="FF000000"/>
      </top>
      <bottom style="thin">
        <color rgb="FF000000"/>
      </bottom>
    </border>
    <border>
      <left style="thin">
        <color rgb="FF000000"/>
      </lef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1" xfId="0" applyAlignment="1" applyBorder="1" applyFont="1" applyNumberFormat="1">
      <alignment horizontal="center" shrinkToFit="0" vertical="center" wrapText="1"/>
    </xf>
    <xf borderId="1" fillId="2" fontId="1" numFmtId="164" xfId="0" applyAlignment="1" applyBorder="1" applyFont="1" applyNumberFormat="1">
      <alignment horizontal="center" shrinkToFit="0" vertical="center" wrapText="1"/>
    </xf>
    <xf borderId="1" fillId="2" fontId="1" numFmtId="165" xfId="0" applyAlignment="1" applyBorder="1" applyFont="1" applyNumberFormat="1">
      <alignment horizontal="center" shrinkToFit="0" vertical="center" wrapText="1"/>
    </xf>
    <xf borderId="1" fillId="2" fontId="2" numFmtId="0" xfId="0" applyAlignment="1" applyBorder="1" applyFont="1">
      <alignment horizontal="center" shrinkToFit="0" vertical="center" wrapText="1"/>
    </xf>
    <xf borderId="1" fillId="3" fontId="2" numFmtId="0" xfId="0" applyAlignment="1" applyBorder="1" applyFill="1" applyFont="1">
      <alignment horizontal="center" shrinkToFit="0" vertical="center" wrapText="1"/>
    </xf>
    <xf borderId="1" fillId="2" fontId="3" numFmtId="0" xfId="0" applyAlignment="1" applyBorder="1" applyFont="1">
      <alignment horizontal="center" shrinkToFit="0" vertical="center" wrapText="1"/>
    </xf>
    <xf borderId="1" fillId="4" fontId="4" numFmtId="0" xfId="0" applyAlignment="1" applyBorder="1" applyFill="1" applyFont="1">
      <alignment horizontal="center" shrinkToFit="0" vertical="center" wrapText="1"/>
    </xf>
    <xf borderId="1" fillId="4" fontId="4" numFmtId="165" xfId="0" applyAlignment="1" applyBorder="1" applyFont="1" applyNumberFormat="1">
      <alignment horizontal="center" shrinkToFit="0" vertical="center" wrapText="1"/>
    </xf>
    <xf borderId="1" fillId="4" fontId="5" numFmtId="0" xfId="0" applyAlignment="1" applyBorder="1" applyFont="1">
      <alignment horizontal="center" shrinkToFit="0" vertical="center" wrapText="1"/>
    </xf>
    <xf borderId="1" fillId="4" fontId="3" numFmtId="0" xfId="0" applyAlignment="1" applyBorder="1" applyFont="1">
      <alignment horizontal="center" shrinkToFit="0" vertical="center" wrapText="1"/>
    </xf>
    <xf borderId="2" fillId="5" fontId="6" numFmtId="0" xfId="0" applyAlignment="1" applyBorder="1" applyFill="1" applyFont="1">
      <alignment horizontal="center" shrinkToFit="0" vertical="center" wrapText="1"/>
    </xf>
    <xf borderId="2" fillId="0" fontId="7" numFmtId="1" xfId="0" applyAlignment="1" applyBorder="1" applyFont="1" applyNumberFormat="1">
      <alignment horizontal="center" shrinkToFit="0" vertical="center" wrapText="1"/>
    </xf>
    <xf borderId="2" fillId="0" fontId="8" numFmtId="0" xfId="0" applyAlignment="1" applyBorder="1" applyFont="1">
      <alignment horizontal="left" shrinkToFit="0" vertical="center" wrapText="1"/>
    </xf>
    <xf borderId="2" fillId="0" fontId="7" numFmtId="49" xfId="0" applyAlignment="1" applyBorder="1" applyFont="1" applyNumberFormat="1">
      <alignment horizontal="center" shrinkToFit="0" vertical="center" wrapText="1"/>
    </xf>
    <xf borderId="2" fillId="0" fontId="8" numFmtId="0" xfId="0" applyAlignment="1" applyBorder="1" applyFont="1">
      <alignment horizontal="center" shrinkToFit="0" vertical="center" wrapText="1"/>
    </xf>
    <xf borderId="2" fillId="2" fontId="9" numFmtId="49" xfId="0" applyAlignment="1" applyBorder="1" applyFont="1" applyNumberFormat="1">
      <alignment horizontal="center" shrinkToFit="0" vertical="center" wrapText="1"/>
    </xf>
    <xf borderId="2" fillId="2" fontId="9" numFmtId="0" xfId="0" applyAlignment="1" applyBorder="1" applyFont="1">
      <alignment horizontal="center" shrinkToFit="0" vertical="center" wrapText="1"/>
    </xf>
    <xf borderId="2" fillId="0" fontId="6" numFmtId="166" xfId="0" applyAlignment="1" applyBorder="1" applyFont="1" applyNumberFormat="1">
      <alignment horizontal="center" shrinkToFit="0" vertical="center" wrapText="1"/>
    </xf>
    <xf borderId="2" fillId="5" fontId="8" numFmtId="1" xfId="0" applyAlignment="1" applyBorder="1" applyFont="1" applyNumberFormat="1">
      <alignment horizontal="center" shrinkToFit="0" vertical="center" wrapText="1"/>
    </xf>
    <xf borderId="2" fillId="5" fontId="6" numFmtId="166" xfId="0" applyAlignment="1" applyBorder="1" applyFont="1" applyNumberFormat="1">
      <alignment horizontal="center" shrinkToFit="0" vertical="center" wrapText="1"/>
    </xf>
    <xf borderId="2" fillId="0" fontId="8" numFmtId="2" xfId="0" applyAlignment="1" applyBorder="1" applyFont="1" applyNumberFormat="1">
      <alignment horizontal="center" shrinkToFit="0" vertical="center" wrapText="1"/>
    </xf>
    <xf borderId="2" fillId="0" fontId="6" numFmtId="0" xfId="0" applyAlignment="1" applyBorder="1" applyFont="1">
      <alignment horizontal="center" shrinkToFit="0" vertical="center" wrapText="1"/>
    </xf>
    <xf borderId="3" fillId="0" fontId="10" numFmtId="49" xfId="0" applyAlignment="1" applyBorder="1" applyFont="1" applyNumberFormat="1">
      <alignment horizontal="center" shrinkToFit="0" vertical="center" wrapText="1"/>
    </xf>
    <xf borderId="2" fillId="0" fontId="10" numFmtId="0" xfId="0" applyAlignment="1" applyBorder="1" applyFont="1">
      <alignment horizontal="center" shrinkToFit="0" vertical="center" wrapText="1"/>
    </xf>
    <xf borderId="2" fillId="0" fontId="8" numFmtId="49" xfId="0" applyAlignment="1" applyBorder="1" applyFont="1" applyNumberFormat="1">
      <alignment horizontal="center" shrinkToFit="0" vertical="center" wrapText="1"/>
    </xf>
    <xf borderId="1" fillId="5" fontId="8" numFmtId="0" xfId="0" applyAlignment="1" applyBorder="1" applyFont="1">
      <alignment horizontal="center" shrinkToFit="0" vertical="center" wrapText="1"/>
    </xf>
    <xf borderId="2" fillId="5" fontId="8" numFmtId="0" xfId="0" applyAlignment="1" applyBorder="1" applyFont="1">
      <alignment horizontal="center" shrinkToFit="0" vertical="center" wrapText="1"/>
    </xf>
    <xf borderId="2" fillId="6" fontId="8" numFmtId="0" xfId="0" applyAlignment="1" applyBorder="1" applyFill="1" applyFont="1">
      <alignment horizontal="center" shrinkToFit="0" vertical="center" wrapText="1"/>
    </xf>
    <xf borderId="2" fillId="6" fontId="8" numFmtId="165" xfId="0" applyAlignment="1" applyBorder="1" applyFont="1" applyNumberFormat="1">
      <alignment horizontal="center" shrinkToFit="0" vertical="center" wrapText="1"/>
    </xf>
    <xf borderId="2" fillId="6" fontId="8" numFmtId="166" xfId="0" applyAlignment="1" applyBorder="1" applyFont="1" applyNumberFormat="1">
      <alignment horizontal="center" shrinkToFit="0" vertical="center" wrapText="1"/>
    </xf>
    <xf borderId="1" fillId="0" fontId="6" numFmtId="0" xfId="0" applyAlignment="1" applyBorder="1" applyFont="1">
      <alignment horizontal="center" shrinkToFit="0" vertical="center" wrapText="1"/>
    </xf>
    <xf borderId="1" fillId="5" fontId="6"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 fillId="0" fontId="7"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1" fillId="2" fontId="9" numFmtId="49" xfId="0" applyAlignment="1" applyBorder="1" applyFont="1" applyNumberFormat="1">
      <alignment horizontal="center" shrinkToFit="0" vertical="center" wrapText="1"/>
    </xf>
    <xf borderId="1" fillId="2" fontId="9" numFmtId="0" xfId="0" applyAlignment="1" applyBorder="1" applyFont="1">
      <alignment horizontal="center" shrinkToFit="0" vertical="center" wrapText="1"/>
    </xf>
    <xf borderId="1" fillId="0" fontId="6" numFmtId="166" xfId="0" applyAlignment="1" applyBorder="1" applyFont="1" applyNumberFormat="1">
      <alignment horizontal="center" shrinkToFit="0" vertical="center" wrapText="1"/>
    </xf>
    <xf borderId="1" fillId="5" fontId="8" numFmtId="1" xfId="0" applyAlignment="1" applyBorder="1" applyFont="1" applyNumberFormat="1">
      <alignment horizontal="center" shrinkToFit="0" vertical="center" wrapText="1"/>
    </xf>
    <xf borderId="1" fillId="5" fontId="6" numFmtId="166" xfId="0" applyAlignment="1" applyBorder="1" applyFont="1" applyNumberFormat="1">
      <alignment horizontal="center" shrinkToFit="0" vertical="center" wrapText="1"/>
    </xf>
    <xf borderId="1" fillId="0" fontId="8" numFmtId="2" xfId="0" applyAlignment="1" applyBorder="1" applyFont="1" applyNumberFormat="1">
      <alignment horizontal="center" shrinkToFit="0" vertical="center" wrapText="1"/>
    </xf>
    <xf borderId="1" fillId="0" fontId="10" numFmtId="0" xfId="0" applyAlignment="1" applyBorder="1" applyFont="1">
      <alignment horizontal="center" shrinkToFit="0" vertical="center" wrapText="1"/>
    </xf>
    <xf borderId="1" fillId="6" fontId="8" numFmtId="0" xfId="0" applyAlignment="1" applyBorder="1" applyFont="1">
      <alignment horizontal="center" shrinkToFit="0" vertical="center" wrapText="1"/>
    </xf>
    <xf borderId="1" fillId="6" fontId="8" numFmtId="165" xfId="0" applyAlignment="1" applyBorder="1" applyFont="1" applyNumberFormat="1">
      <alignment horizontal="center" shrinkToFit="0" vertical="center" wrapText="1"/>
    </xf>
    <xf borderId="1" fillId="6" fontId="8" numFmtId="166" xfId="0" applyAlignment="1" applyBorder="1" applyFont="1" applyNumberFormat="1">
      <alignment horizontal="center" shrinkToFit="0" vertical="center" wrapText="1"/>
    </xf>
    <xf borderId="2" fillId="5" fontId="7" numFmtId="1" xfId="0" applyAlignment="1" applyBorder="1" applyFont="1" applyNumberFormat="1">
      <alignment horizontal="center" shrinkToFit="0" vertical="center" wrapText="1"/>
    </xf>
    <xf borderId="2" fillId="5" fontId="8" numFmtId="0" xfId="0" applyAlignment="1" applyBorder="1" applyFont="1">
      <alignment horizontal="left" shrinkToFit="0" vertical="center" wrapText="1"/>
    </xf>
    <xf borderId="2" fillId="5" fontId="7" numFmtId="0" xfId="0" applyAlignment="1" applyBorder="1" applyFont="1">
      <alignment horizontal="center" shrinkToFit="0" vertical="center" wrapText="1"/>
    </xf>
    <xf borderId="2" fillId="5" fontId="8" numFmtId="166" xfId="0" applyAlignment="1" applyBorder="1" applyFont="1" applyNumberFormat="1">
      <alignment horizontal="center" shrinkToFit="0" vertical="center" wrapText="1"/>
    </xf>
    <xf borderId="2" fillId="5" fontId="8" numFmtId="2" xfId="0" applyAlignment="1" applyBorder="1" applyFont="1" applyNumberFormat="1">
      <alignment horizontal="center" shrinkToFit="0" vertical="center" wrapText="1"/>
    </xf>
    <xf borderId="4" fillId="5" fontId="8" numFmtId="2" xfId="0" applyAlignment="1" applyBorder="1" applyFont="1" applyNumberFormat="1">
      <alignment horizontal="center" shrinkToFit="0" vertical="center" wrapText="1"/>
    </xf>
    <xf borderId="4" fillId="5" fontId="8" numFmtId="2" xfId="0" applyAlignment="1" applyBorder="1" applyFont="1" applyNumberFormat="1">
      <alignment horizontal="center" readingOrder="0" shrinkToFit="0" vertical="center" wrapText="1"/>
    </xf>
    <xf borderId="3" fillId="5" fontId="6" numFmtId="0" xfId="0" applyAlignment="1" applyBorder="1" applyFont="1">
      <alignment horizontal="center" shrinkToFit="0" vertical="center" wrapText="1"/>
    </xf>
    <xf borderId="1" fillId="5" fontId="8" numFmtId="165" xfId="0" applyAlignment="1" applyBorder="1" applyFont="1" applyNumberFormat="1">
      <alignment horizontal="center" shrinkToFit="0" vertical="center" wrapText="1"/>
    </xf>
    <xf borderId="1" fillId="5" fontId="8" numFmtId="166" xfId="0" applyAlignment="1" applyBorder="1" applyFont="1" applyNumberFormat="1">
      <alignment horizontal="center" shrinkToFit="0" vertical="center" wrapText="1"/>
    </xf>
    <xf borderId="1" fillId="7" fontId="6" numFmtId="0" xfId="0" applyAlignment="1" applyBorder="1" applyFill="1" applyFont="1">
      <alignment horizontal="center" shrinkToFit="0" vertical="center" wrapText="1"/>
    </xf>
    <xf borderId="2" fillId="7" fontId="7" numFmtId="1" xfId="0" applyAlignment="1" applyBorder="1" applyFont="1" applyNumberFormat="1">
      <alignment horizontal="center" shrinkToFit="0" vertical="center" wrapText="1"/>
    </xf>
    <xf borderId="2" fillId="7" fontId="8" numFmtId="0" xfId="0" applyAlignment="1" applyBorder="1" applyFont="1">
      <alignment horizontal="left" shrinkToFit="0" vertical="center" wrapText="1"/>
    </xf>
    <xf borderId="2" fillId="7" fontId="7" numFmtId="0" xfId="0" applyAlignment="1" applyBorder="1" applyFont="1">
      <alignment horizontal="center" shrinkToFit="0" vertical="center" wrapText="1"/>
    </xf>
    <xf borderId="2" fillId="7" fontId="8" numFmtId="0" xfId="0" applyAlignment="1" applyBorder="1" applyFont="1">
      <alignment horizontal="center" shrinkToFit="0" vertical="center" wrapText="1"/>
    </xf>
    <xf borderId="2" fillId="7" fontId="6" numFmtId="166" xfId="0" applyAlignment="1" applyBorder="1" applyFont="1" applyNumberFormat="1">
      <alignment horizontal="center" shrinkToFit="0" vertical="center" wrapText="1"/>
    </xf>
    <xf borderId="2" fillId="7" fontId="8" numFmtId="1" xfId="0" applyAlignment="1" applyBorder="1" applyFont="1" applyNumberFormat="1">
      <alignment horizontal="center" shrinkToFit="0" vertical="center" wrapText="1"/>
    </xf>
    <xf borderId="2" fillId="7" fontId="8" numFmtId="2" xfId="0" applyAlignment="1" applyBorder="1" applyFont="1" applyNumberFormat="1">
      <alignment horizontal="center" shrinkToFit="0" vertical="center" wrapText="1"/>
    </xf>
    <xf borderId="4" fillId="7" fontId="8" numFmtId="2" xfId="0" applyAlignment="1" applyBorder="1" applyFont="1" applyNumberFormat="1">
      <alignment horizontal="center" shrinkToFit="0" vertical="center" wrapText="1"/>
    </xf>
    <xf borderId="3" fillId="7" fontId="6" numFmtId="0" xfId="0" applyAlignment="1" applyBorder="1" applyFont="1">
      <alignment horizontal="center" shrinkToFit="0" vertical="center" wrapText="1"/>
    </xf>
    <xf borderId="1" fillId="5" fontId="7" numFmtId="1" xfId="0" applyAlignment="1" applyBorder="1" applyFont="1" applyNumberFormat="1">
      <alignment horizontal="center" shrinkToFit="0" vertical="center" wrapText="1"/>
    </xf>
    <xf borderId="1" fillId="5" fontId="8" numFmtId="0" xfId="0" applyAlignment="1" applyBorder="1" applyFont="1">
      <alignment horizontal="left" shrinkToFit="0" vertical="center" wrapText="1"/>
    </xf>
    <xf borderId="1" fillId="5" fontId="7" numFmtId="0" xfId="0" applyAlignment="1" applyBorder="1" applyFont="1">
      <alignment horizontal="center" shrinkToFit="0" vertical="center" wrapText="1"/>
    </xf>
    <xf borderId="1" fillId="5" fontId="8" numFmtId="2" xfId="0" applyAlignment="1" applyBorder="1" applyFont="1" applyNumberFormat="1">
      <alignment horizontal="center" shrinkToFit="0" vertical="center" wrapText="1"/>
    </xf>
    <xf borderId="5" fillId="5" fontId="8" numFmtId="2" xfId="0" applyAlignment="1" applyBorder="1" applyFont="1" applyNumberFormat="1">
      <alignment horizontal="center" shrinkToFit="0" vertical="center" wrapText="1"/>
    </xf>
    <xf borderId="6" fillId="5" fontId="6" numFmtId="0" xfId="0" applyAlignment="1" applyBorder="1" applyFont="1">
      <alignment horizontal="center" shrinkToFit="0" vertical="center" wrapText="1"/>
    </xf>
    <xf borderId="7" fillId="5" fontId="6" numFmtId="166" xfId="0" applyAlignment="1" applyBorder="1" applyFont="1" applyNumberFormat="1">
      <alignment horizontal="center" shrinkToFit="0" vertical="center" wrapText="1"/>
    </xf>
    <xf borderId="1" fillId="5" fontId="8" numFmtId="2" xfId="0" applyAlignment="1" applyBorder="1" applyFont="1" applyNumberFormat="1">
      <alignment horizontal="center" readingOrder="0" shrinkToFit="0" vertical="center" wrapText="1"/>
    </xf>
    <xf borderId="1" fillId="4" fontId="8" numFmtId="0" xfId="0" applyAlignment="1" applyBorder="1" applyFont="1">
      <alignment horizontal="center" shrinkToFit="0" vertical="center" wrapText="1"/>
    </xf>
    <xf borderId="1" fillId="4" fontId="8" numFmtId="165" xfId="0" applyAlignment="1" applyBorder="1" applyFont="1" applyNumberFormat="1">
      <alignment horizontal="center" shrinkToFit="0" vertical="center" wrapText="1"/>
    </xf>
    <xf borderId="1" fillId="4" fontId="8" numFmtId="166" xfId="0" applyAlignment="1" applyBorder="1" applyFont="1" applyNumberFormat="1">
      <alignment horizontal="center" shrinkToFit="0" vertical="center" wrapText="1"/>
    </xf>
    <xf borderId="1" fillId="5" fontId="10" numFmtId="0" xfId="0" applyAlignment="1" applyBorder="1" applyFont="1">
      <alignment horizontal="center" shrinkToFit="0" vertical="center" wrapText="1"/>
    </xf>
    <xf borderId="8" fillId="5" fontId="6" numFmtId="0" xfId="0" applyAlignment="1" applyBorder="1" applyFont="1">
      <alignment horizontal="center" shrinkToFit="0" vertical="center" wrapText="1"/>
    </xf>
    <xf borderId="1" fillId="5" fontId="8" numFmtId="167" xfId="0" applyAlignment="1" applyBorder="1" applyFont="1" applyNumberFormat="1">
      <alignment horizontal="center" shrinkToFit="0" vertical="center" wrapText="1"/>
    </xf>
    <xf borderId="1" fillId="4" fontId="6" numFmtId="166" xfId="0" applyAlignment="1" applyBorder="1" applyFont="1" applyNumberFormat="1">
      <alignment horizontal="center" shrinkToFit="0" vertical="center" wrapText="1"/>
    </xf>
    <xf borderId="7" fillId="4" fontId="6" numFmtId="166" xfId="0" applyAlignment="1" applyBorder="1" applyFont="1" applyNumberFormat="1">
      <alignment horizontal="center" shrinkToFit="0" vertical="center" wrapText="1"/>
    </xf>
    <xf borderId="7" fillId="5" fontId="8" numFmtId="0" xfId="0" applyAlignment="1" applyBorder="1" applyFont="1">
      <alignment horizontal="center" shrinkToFit="0" vertical="center" wrapText="1"/>
    </xf>
    <xf borderId="9" fillId="5" fontId="8" numFmtId="2" xfId="0" applyAlignment="1" applyBorder="1" applyFont="1" applyNumberFormat="1">
      <alignment horizontal="center" shrinkToFit="0" vertical="center" wrapText="1"/>
    </xf>
    <xf borderId="9" fillId="5" fontId="8" numFmtId="0" xfId="0" applyAlignment="1" applyBorder="1" applyFont="1">
      <alignment horizontal="center" shrinkToFit="0" vertical="center" wrapText="1"/>
    </xf>
    <xf borderId="6" fillId="5" fontId="6" numFmtId="166" xfId="0" applyAlignment="1" applyBorder="1" applyFont="1" applyNumberFormat="1">
      <alignment horizontal="center" shrinkToFit="0" vertical="center" wrapText="1"/>
    </xf>
    <xf borderId="6" fillId="5" fontId="8" numFmtId="0" xfId="0" applyAlignment="1" applyBorder="1" applyFont="1">
      <alignment horizontal="center" shrinkToFit="0" vertical="center" wrapText="1"/>
    </xf>
    <xf borderId="1" fillId="5" fontId="5" numFmtId="0" xfId="0" applyAlignment="1" applyBorder="1" applyFont="1">
      <alignment horizontal="center" shrinkToFit="0" vertical="center" wrapText="1"/>
    </xf>
    <xf borderId="1" fillId="5" fontId="11" numFmtId="49" xfId="0" applyAlignment="1" applyBorder="1" applyFont="1" applyNumberFormat="1">
      <alignment horizontal="left" shrinkToFit="0" vertical="center" wrapText="1"/>
    </xf>
    <xf borderId="10" fillId="5" fontId="8" numFmtId="0" xfId="0" applyAlignment="1" applyBorder="1" applyFont="1">
      <alignment horizontal="center" shrinkToFit="0" vertical="center" wrapText="1"/>
    </xf>
    <xf borderId="0" fillId="5" fontId="8" numFmtId="0" xfId="0" applyAlignment="1" applyFont="1">
      <alignment horizontal="left" shrinkToFit="0" vertical="center" wrapText="1"/>
    </xf>
    <xf borderId="6" fillId="8" fontId="6" numFmtId="0" xfId="0" applyAlignment="1" applyBorder="1" applyFill="1" applyFont="1">
      <alignment horizontal="center" shrinkToFit="0" vertical="center" wrapText="1"/>
    </xf>
    <xf borderId="10" fillId="5" fontId="8" numFmtId="2" xfId="0" applyAlignment="1" applyBorder="1" applyFont="1" applyNumberFormat="1">
      <alignment horizontal="center" shrinkToFit="0" vertical="center" wrapText="1"/>
    </xf>
    <xf borderId="3" fillId="0" fontId="5" numFmtId="0" xfId="0" applyAlignment="1" applyBorder="1" applyFont="1">
      <alignment horizontal="center" vertical="center"/>
    </xf>
    <xf borderId="1" fillId="9" fontId="6" numFmtId="166" xfId="0" applyAlignment="1" applyBorder="1" applyFill="1" applyFont="1" applyNumberFormat="1">
      <alignment horizontal="center" shrinkToFit="0" vertical="center" wrapText="1"/>
    </xf>
    <xf borderId="1" fillId="9" fontId="8" numFmtId="0" xfId="0" applyAlignment="1" applyBorder="1" applyFont="1">
      <alignment horizontal="center" shrinkToFit="0" vertical="center" wrapText="1"/>
    </xf>
    <xf borderId="1" fillId="7" fontId="7" numFmtId="1" xfId="0" applyAlignment="1" applyBorder="1" applyFont="1" applyNumberFormat="1">
      <alignment horizontal="center" shrinkToFit="0" vertical="center" wrapText="1"/>
    </xf>
    <xf borderId="1" fillId="7" fontId="8" numFmtId="0" xfId="0" applyAlignment="1" applyBorder="1" applyFont="1">
      <alignment horizontal="left" shrinkToFit="0" vertical="center" wrapText="1"/>
    </xf>
    <xf borderId="1" fillId="7" fontId="7" numFmtId="0" xfId="0" applyAlignment="1" applyBorder="1" applyFont="1">
      <alignment horizontal="center" shrinkToFit="0" vertical="center" wrapText="1"/>
    </xf>
    <xf borderId="1" fillId="7" fontId="8" numFmtId="0" xfId="0" applyAlignment="1" applyBorder="1" applyFont="1">
      <alignment horizontal="center" shrinkToFit="0" vertical="center" wrapText="1"/>
    </xf>
    <xf borderId="1" fillId="7" fontId="6" numFmtId="166" xfId="0" applyAlignment="1" applyBorder="1" applyFont="1" applyNumberFormat="1">
      <alignment horizontal="center" shrinkToFit="0" vertical="center" wrapText="1"/>
    </xf>
    <xf borderId="1" fillId="7" fontId="8" numFmtId="2" xfId="0" applyAlignment="1" applyBorder="1" applyFont="1" applyNumberFormat="1">
      <alignment horizontal="center" shrinkToFit="0" vertical="center" wrapText="1"/>
    </xf>
    <xf borderId="1" fillId="7" fontId="8" numFmtId="2" xfId="0" applyAlignment="1" applyBorder="1" applyFont="1" applyNumberFormat="1">
      <alignment horizontal="center" readingOrder="0" shrinkToFit="0" vertical="center" wrapText="1"/>
    </xf>
    <xf borderId="6" fillId="7" fontId="6" numFmtId="0" xfId="0" applyAlignment="1" applyBorder="1" applyFont="1">
      <alignment horizontal="center" shrinkToFit="0" vertical="center" wrapText="1"/>
    </xf>
    <xf borderId="1" fillId="0" fontId="8" numFmtId="165" xfId="0" applyAlignment="1" applyBorder="1" applyFont="1" applyNumberFormat="1">
      <alignment horizontal="center" shrinkToFit="0" vertical="center" wrapText="1"/>
    </xf>
    <xf borderId="1" fillId="0" fontId="8" numFmtId="166" xfId="0" applyAlignment="1" applyBorder="1" applyFont="1" applyNumberFormat="1">
      <alignment horizontal="center" shrinkToFit="0" vertical="center" wrapText="1"/>
    </xf>
    <xf borderId="1" fillId="10" fontId="8" numFmtId="1" xfId="0" applyAlignment="1" applyBorder="1" applyFill="1" applyFont="1" applyNumberFormat="1">
      <alignment horizontal="center" shrinkToFit="0" vertical="center" wrapText="1"/>
    </xf>
    <xf borderId="1" fillId="2" fontId="1" numFmtId="49" xfId="0" applyAlignment="1" applyBorder="1" applyFont="1" applyNumberFormat="1">
      <alignment horizontal="center" shrinkToFit="0" vertical="center" wrapText="1"/>
    </xf>
    <xf borderId="1" fillId="7" fontId="8" numFmtId="166" xfId="0" applyAlignment="1" applyBorder="1" applyFont="1" applyNumberFormat="1">
      <alignment horizontal="center" shrinkToFit="0" vertical="center" wrapText="1"/>
    </xf>
    <xf borderId="1" fillId="7" fontId="8" numFmtId="1" xfId="0" applyAlignment="1" applyBorder="1" applyFont="1" applyNumberFormat="1">
      <alignment horizontal="center" shrinkToFit="0" vertical="center" wrapText="1"/>
    </xf>
    <xf borderId="1" fillId="5" fontId="8" numFmtId="14" xfId="0" applyAlignment="1" applyBorder="1" applyFont="1" applyNumberFormat="1">
      <alignment horizontal="center" shrinkToFit="0" vertical="center" wrapText="1"/>
    </xf>
    <xf borderId="1" fillId="11" fontId="6" numFmtId="0" xfId="0" applyAlignment="1" applyBorder="1" applyFill="1" applyFont="1">
      <alignment horizontal="center" shrinkToFit="0" vertical="center" wrapText="1"/>
    </xf>
    <xf borderId="1" fillId="11" fontId="7" numFmtId="1" xfId="0" applyAlignment="1" applyBorder="1" applyFont="1" applyNumberFormat="1">
      <alignment horizontal="center" shrinkToFit="0" vertical="center" wrapText="1"/>
    </xf>
    <xf borderId="1" fillId="11" fontId="8" numFmtId="0" xfId="0" applyAlignment="1" applyBorder="1" applyFont="1">
      <alignment horizontal="left" shrinkToFit="0" vertical="center" wrapText="1"/>
    </xf>
    <xf borderId="1" fillId="11" fontId="7" numFmtId="0" xfId="0" applyAlignment="1" applyBorder="1" applyFont="1">
      <alignment horizontal="center" shrinkToFit="0" vertical="center" wrapText="1"/>
    </xf>
    <xf borderId="1" fillId="11" fontId="8" numFmtId="0" xfId="0" applyAlignment="1" applyBorder="1" applyFont="1">
      <alignment horizontal="center" shrinkToFit="0" vertical="center" wrapText="1"/>
    </xf>
    <xf borderId="1" fillId="11" fontId="3" numFmtId="49" xfId="0" applyAlignment="1" applyBorder="1" applyFont="1" applyNumberFormat="1">
      <alignment horizontal="center" shrinkToFit="0" vertical="center" wrapText="1"/>
    </xf>
    <xf borderId="1" fillId="11" fontId="3" numFmtId="0" xfId="0" applyAlignment="1" applyBorder="1" applyFont="1">
      <alignment horizontal="center" shrinkToFit="0" vertical="center" wrapText="1"/>
    </xf>
    <xf borderId="1" fillId="11" fontId="6" numFmtId="166" xfId="0" applyAlignment="1" applyBorder="1" applyFont="1" applyNumberFormat="1">
      <alignment horizontal="center" shrinkToFit="0" vertical="center" wrapText="1"/>
    </xf>
    <xf borderId="1" fillId="11" fontId="8" numFmtId="1" xfId="0" applyAlignment="1" applyBorder="1" applyFont="1" applyNumberFormat="1">
      <alignment horizontal="center" shrinkToFit="0" vertical="center" wrapText="1"/>
    </xf>
    <xf borderId="1" fillId="11" fontId="8" numFmtId="2" xfId="0" applyAlignment="1" applyBorder="1" applyFont="1" applyNumberFormat="1">
      <alignment horizontal="center" shrinkToFit="0" vertical="center" wrapText="1"/>
    </xf>
    <xf borderId="6" fillId="11" fontId="6" numFmtId="0" xfId="0" applyAlignment="1" applyBorder="1" applyFont="1">
      <alignment horizontal="center" shrinkToFit="0" vertical="center" wrapText="1"/>
    </xf>
    <xf borderId="3" fillId="11" fontId="6" numFmtId="0" xfId="0" applyAlignment="1" applyBorder="1" applyFont="1">
      <alignment horizontal="center" shrinkToFit="0" vertical="center" wrapText="1"/>
    </xf>
    <xf borderId="1" fillId="5" fontId="12" numFmtId="2" xfId="0" applyAlignment="1" applyBorder="1" applyFont="1" applyNumberFormat="1">
      <alignment horizontal="center" shrinkToFit="0" vertical="center" wrapText="1"/>
    </xf>
    <xf borderId="0" fillId="5" fontId="6" numFmtId="0" xfId="0" applyAlignment="1" applyFont="1">
      <alignment horizontal="center" shrinkToFit="0" vertical="center" wrapText="1"/>
    </xf>
    <xf borderId="0" fillId="7" fontId="6" numFmtId="0" xfId="0" applyAlignment="1" applyFont="1">
      <alignment horizontal="center" shrinkToFit="0" vertical="center" wrapText="1"/>
    </xf>
    <xf borderId="1" fillId="5" fontId="6" numFmtId="4" xfId="0" applyAlignment="1" applyBorder="1" applyFont="1" applyNumberFormat="1">
      <alignment horizontal="center" shrinkToFit="0" vertical="center" wrapText="1"/>
    </xf>
    <xf borderId="1" fillId="5" fontId="7" numFmtId="4" xfId="0" applyAlignment="1" applyBorder="1" applyFont="1" applyNumberFormat="1">
      <alignment horizontal="center" shrinkToFit="0" vertical="center" wrapText="1"/>
    </xf>
    <xf borderId="1" fillId="5" fontId="8" numFmtId="4" xfId="0" applyAlignment="1" applyBorder="1" applyFont="1" applyNumberFormat="1">
      <alignment horizontal="left" shrinkToFit="0" vertical="center" wrapText="1"/>
    </xf>
    <xf borderId="1" fillId="5" fontId="8" numFmtId="4" xfId="0" applyAlignment="1" applyBorder="1" applyFont="1" applyNumberFormat="1">
      <alignment horizontal="center" shrinkToFit="0" vertical="center" wrapText="1"/>
    </xf>
    <xf borderId="1" fillId="5" fontId="6" numFmtId="4" xfId="0" applyAlignment="1" applyBorder="1" applyFont="1" applyNumberFormat="1">
      <alignment horizontal="left" shrinkToFit="0" vertical="center" wrapText="1"/>
    </xf>
    <xf borderId="1" fillId="5" fontId="13" numFmtId="2" xfId="0" applyAlignment="1" applyBorder="1" applyFont="1" applyNumberFormat="1">
      <alignment horizontal="center" shrinkToFit="0" vertical="center" wrapText="1"/>
    </xf>
    <xf borderId="7" fillId="7" fontId="6" numFmtId="166" xfId="0" applyAlignment="1" applyBorder="1" applyFont="1" applyNumberFormat="1">
      <alignment horizontal="center" shrinkToFit="0" vertical="center" wrapText="1"/>
    </xf>
    <xf borderId="1" fillId="0" fontId="14" numFmtId="0" xfId="0" applyAlignment="1" applyBorder="1" applyFont="1">
      <alignment horizontal="center" vertical="center"/>
    </xf>
    <xf borderId="1" fillId="5" fontId="15" numFmtId="0" xfId="0" applyAlignment="1" applyBorder="1" applyFont="1">
      <alignment horizontal="center" shrinkToFit="0" vertical="center" wrapText="1"/>
    </xf>
    <xf borderId="1" fillId="5" fontId="5" numFmtId="0" xfId="0" applyAlignment="1" applyBorder="1" applyFont="1">
      <alignment horizontal="center" vertical="center"/>
    </xf>
    <xf borderId="1" fillId="12" fontId="9" numFmtId="49" xfId="0" applyAlignment="1" applyBorder="1" applyFill="1" applyFont="1" applyNumberFormat="1">
      <alignment horizontal="center" shrinkToFit="0" vertical="center" wrapText="1"/>
    </xf>
    <xf borderId="1" fillId="12" fontId="9" numFmtId="0" xfId="0" applyAlignment="1" applyBorder="1" applyFont="1">
      <alignment horizontal="center" shrinkToFit="0" vertical="center" wrapText="1"/>
    </xf>
    <xf borderId="1" fillId="13" fontId="7" numFmtId="4" xfId="0" applyAlignment="1" applyBorder="1" applyFill="1" applyFont="1" applyNumberFormat="1">
      <alignment horizontal="center" shrinkToFit="0" vertical="center" wrapText="1"/>
    </xf>
    <xf borderId="1" fillId="12" fontId="1" numFmtId="4" xfId="0" applyAlignment="1" applyBorder="1" applyFont="1" applyNumberFormat="1">
      <alignment horizontal="center" shrinkToFit="0" vertical="center" wrapText="1"/>
    </xf>
    <xf borderId="1" fillId="5" fontId="6" numFmtId="168" xfId="0" applyAlignment="1" applyBorder="1" applyFont="1" applyNumberFormat="1">
      <alignment horizontal="center" shrinkToFit="0" vertical="center" wrapText="1"/>
    </xf>
    <xf borderId="1" fillId="2" fontId="9" numFmtId="4" xfId="0" applyAlignment="1" applyBorder="1" applyFont="1" applyNumberFormat="1">
      <alignment horizontal="center" shrinkToFit="0" vertical="center" wrapText="1"/>
    </xf>
    <xf borderId="1" fillId="5" fontId="6" numFmtId="167" xfId="0" applyAlignment="1" applyBorder="1" applyFont="1" applyNumberFormat="1">
      <alignment horizontal="center" shrinkToFit="0" vertical="center" wrapText="1"/>
    </xf>
    <xf borderId="1" fillId="14" fontId="6" numFmtId="0" xfId="0" applyAlignment="1" applyBorder="1" applyFill="1" applyFont="1">
      <alignment horizontal="center" shrinkToFit="0" vertical="center" wrapText="1"/>
    </xf>
    <xf borderId="1" fillId="14" fontId="1" numFmtId="4" xfId="0" applyAlignment="1" applyBorder="1" applyFont="1" applyNumberFormat="1">
      <alignment horizontal="center" shrinkToFit="0" vertical="center" wrapText="1"/>
    </xf>
    <xf borderId="0" fillId="7" fontId="7" numFmtId="0" xfId="0" applyAlignment="1" applyFont="1">
      <alignment horizontal="center" shrinkToFit="0" vertical="center" wrapText="1"/>
    </xf>
    <xf borderId="1" fillId="5" fontId="16" numFmtId="4" xfId="0" applyAlignment="1" applyBorder="1" applyFont="1" applyNumberFormat="1">
      <alignment horizontal="center" shrinkToFit="0" vertical="center" wrapText="1"/>
    </xf>
    <xf borderId="1" fillId="5" fontId="17" numFmtId="4" xfId="0" applyAlignment="1" applyBorder="1" applyFont="1" applyNumberFormat="1">
      <alignment horizontal="center" shrinkToFit="0" vertical="center" wrapText="1"/>
    </xf>
    <xf borderId="1" fillId="13" fontId="6" numFmtId="0" xfId="0" applyAlignment="1" applyBorder="1" applyFont="1">
      <alignment horizontal="center" shrinkToFit="0" vertical="center" wrapText="1"/>
    </xf>
    <xf borderId="1" fillId="13" fontId="8" numFmtId="2" xfId="0" applyAlignment="1" applyBorder="1" applyFont="1" applyNumberFormat="1">
      <alignment horizontal="center" shrinkToFit="0" vertical="center" wrapText="1"/>
    </xf>
    <xf borderId="1" fillId="14" fontId="3" numFmtId="49" xfId="0" applyAlignment="1" applyBorder="1" applyFont="1" applyNumberFormat="1">
      <alignment horizontal="center" shrinkToFit="0" vertical="center" wrapText="1"/>
    </xf>
    <xf borderId="1" fillId="14" fontId="8" numFmtId="166" xfId="0" applyAlignment="1" applyBorder="1" applyFont="1" applyNumberFormat="1">
      <alignment horizontal="center" shrinkToFit="0" vertical="center" wrapText="1"/>
    </xf>
    <xf borderId="1" fillId="14" fontId="6" numFmtId="166" xfId="0" applyAlignment="1" applyBorder="1" applyFont="1" applyNumberFormat="1">
      <alignment horizontal="center" shrinkToFit="0" vertical="center" wrapText="1"/>
    </xf>
    <xf borderId="1" fillId="14" fontId="9" numFmtId="4" xfId="0" applyAlignment="1" applyBorder="1" applyFont="1" applyNumberFormat="1">
      <alignment horizontal="center" shrinkToFit="0" vertical="center" wrapText="1"/>
    </xf>
    <xf borderId="1" fillId="14" fontId="9" numFmtId="0" xfId="0" applyAlignment="1" applyBorder="1" applyFont="1">
      <alignment horizontal="center" shrinkToFit="0" vertical="center" wrapText="1"/>
    </xf>
    <xf borderId="0" fillId="5" fontId="8" numFmtId="0" xfId="0" applyAlignment="1" applyFont="1">
      <alignment horizontal="center" shrinkToFit="0" vertical="center" wrapText="1"/>
    </xf>
    <xf borderId="1" fillId="15" fontId="6" numFmtId="0" xfId="0" applyAlignment="1" applyBorder="1" applyFill="1" applyFont="1">
      <alignment horizontal="center" shrinkToFit="0" vertical="center" wrapText="1"/>
    </xf>
    <xf borderId="1" fillId="5" fontId="7" numFmtId="0" xfId="0" applyAlignment="1" applyBorder="1" applyFont="1">
      <alignment horizontal="left" shrinkToFit="0" vertical="center" wrapText="1"/>
    </xf>
    <xf borderId="1" fillId="0" fontId="10" numFmtId="49" xfId="0" applyAlignment="1" applyBorder="1" applyFont="1" applyNumberFormat="1">
      <alignment horizontal="center" shrinkToFit="0" vertical="center" wrapText="1"/>
    </xf>
    <xf borderId="1" fillId="14" fontId="3" numFmtId="0" xfId="0" applyAlignment="1" applyBorder="1" applyFont="1">
      <alignment horizontal="center" shrinkToFit="0" vertical="center" wrapText="1"/>
    </xf>
  </cellXfs>
  <cellStyles count="1">
    <cellStyle xfId="0" name="Normal" builtinId="0"/>
  </cellStyles>
  <dxfs count="7">
    <dxf>
      <font>
        <b/>
        <color rgb="FF000000"/>
      </font>
      <fill>
        <patternFill patternType="solid">
          <fgColor rgb="FFFFFFFF"/>
          <bgColor rgb="FFFFFFFF"/>
        </patternFill>
      </fill>
      <border/>
    </dxf>
    <dxf>
      <font>
        <b/>
        <color rgb="FF000000"/>
      </font>
      <fill>
        <patternFill patternType="solid">
          <fgColor rgb="FF00E0FF"/>
          <bgColor rgb="FF00E0FF"/>
        </patternFill>
      </fill>
      <border/>
    </dxf>
    <dxf>
      <font>
        <b/>
        <color rgb="FF000000"/>
      </font>
      <fill>
        <patternFill patternType="solid">
          <fgColor rgb="FF52E252"/>
          <bgColor rgb="FF52E252"/>
        </patternFill>
      </fill>
      <border/>
    </dxf>
    <dxf>
      <font>
        <b/>
        <color rgb="FF000000"/>
      </font>
      <fill>
        <patternFill patternType="solid">
          <fgColor rgb="FFFFFF00"/>
          <bgColor rgb="FFFFFF00"/>
        </patternFill>
      </fill>
      <border/>
    </dxf>
    <dxf>
      <font>
        <b/>
        <color rgb="FFFFFFFF"/>
      </font>
      <fill>
        <patternFill patternType="solid">
          <fgColor rgb="FFFF0000"/>
          <bgColor rgb="FFFF0000"/>
        </patternFill>
      </fill>
      <border/>
    </dxf>
    <dxf>
      <font>
        <b/>
        <color rgb="FFFFFFFF"/>
      </font>
      <fill>
        <patternFill patternType="solid">
          <fgColor rgb="FF5C0086"/>
          <bgColor rgb="FF5C0086"/>
        </patternFill>
      </fill>
      <border/>
    </dxf>
    <dxf>
      <font>
        <b/>
        <color rgb="FFFFFFFF"/>
      </font>
      <fill>
        <patternFill patternType="solid">
          <fgColor rgb="FF666666"/>
          <bgColor rgb="FF6666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0138.2018.ccple-v.pe/"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0.57"/>
    <col customWidth="1" min="2" max="2" width="22.57"/>
    <col customWidth="1" min="3" max="3" width="56.43"/>
    <col customWidth="1" min="4" max="4" width="39.43"/>
    <col customWidth="1" min="5" max="5" width="21.0"/>
    <col customWidth="1" min="6" max="7" width="15.86"/>
    <col customWidth="1" min="8" max="8" width="14.29"/>
    <col customWidth="1" min="9" max="9" width="14.71"/>
    <col customWidth="1" min="10" max="10" width="14.29"/>
    <col customWidth="1" min="11" max="11" width="23.0"/>
    <col customWidth="1" min="12" max="12" width="14.86"/>
    <col customWidth="1" min="13" max="13" width="15.71"/>
    <col customWidth="1" min="14" max="15" width="17.57"/>
    <col customWidth="1" min="16" max="16" width="21.0"/>
    <col customWidth="1" min="17" max="17" width="19.57"/>
    <col customWidth="1" min="18" max="18" width="20.0"/>
    <col customWidth="1" min="19" max="19" width="26.14"/>
    <col customWidth="1" min="20" max="20" width="27.29"/>
    <col customWidth="1" min="21" max="21" width="26.57"/>
    <col customWidth="1" min="22" max="22" width="33.29"/>
    <col customWidth="1" min="23" max="23" width="17.0"/>
    <col customWidth="1" min="24" max="24" width="22.57"/>
    <col customWidth="1" min="25" max="25" width="24.0"/>
    <col customWidth="1" min="26" max="26" width="24.86"/>
    <col customWidth="1" min="27" max="27" width="24.43"/>
    <col customWidth="1" min="28" max="28" width="20.29"/>
    <col customWidth="1" min="29" max="29" width="18.14"/>
    <col customWidth="1" min="30" max="30" width="25.71"/>
    <col customWidth="1" min="31" max="31" width="28.71"/>
  </cols>
  <sheetData>
    <row r="1">
      <c r="A1" s="1" t="s">
        <v>0</v>
      </c>
      <c r="B1" s="1" t="s">
        <v>1</v>
      </c>
      <c r="C1" s="1" t="s">
        <v>2</v>
      </c>
      <c r="D1" s="1" t="s">
        <v>3</v>
      </c>
      <c r="E1" s="1" t="s">
        <v>4</v>
      </c>
      <c r="F1" s="1" t="s">
        <v>5</v>
      </c>
      <c r="G1" s="1" t="s">
        <v>6</v>
      </c>
      <c r="H1" s="1" t="s">
        <v>7</v>
      </c>
      <c r="I1" s="2" t="s">
        <v>8</v>
      </c>
      <c r="J1" s="1" t="s">
        <v>9</v>
      </c>
      <c r="K1" s="1" t="s">
        <v>10</v>
      </c>
      <c r="L1" s="3" t="s">
        <v>11</v>
      </c>
      <c r="M1" s="4" t="s">
        <v>12</v>
      </c>
      <c r="N1" s="4" t="s">
        <v>13</v>
      </c>
      <c r="O1" s="4" t="s">
        <v>14</v>
      </c>
      <c r="P1" s="1" t="s">
        <v>15</v>
      </c>
      <c r="Q1" s="5" t="s">
        <v>16</v>
      </c>
      <c r="R1" s="6" t="s">
        <v>17</v>
      </c>
      <c r="S1" s="6" t="s">
        <v>18</v>
      </c>
      <c r="T1" s="1" t="s">
        <v>19</v>
      </c>
      <c r="U1" s="1" t="s">
        <v>20</v>
      </c>
      <c r="V1" s="1" t="s">
        <v>21</v>
      </c>
      <c r="W1" s="7" t="s">
        <v>22</v>
      </c>
      <c r="X1" s="8" t="s">
        <v>23</v>
      </c>
      <c r="Y1" s="9" t="s">
        <v>24</v>
      </c>
      <c r="Z1" s="8" t="s">
        <v>25</v>
      </c>
      <c r="AA1" s="8" t="s">
        <v>26</v>
      </c>
      <c r="AB1" s="8" t="s">
        <v>27</v>
      </c>
      <c r="AC1" s="8" t="s">
        <v>28</v>
      </c>
      <c r="AD1" s="10" t="s">
        <v>29</v>
      </c>
      <c r="AE1" s="11" t="s">
        <v>30</v>
      </c>
    </row>
    <row r="2">
      <c r="A2" s="12" t="s">
        <v>31</v>
      </c>
      <c r="B2" s="13" t="s">
        <v>32</v>
      </c>
      <c r="C2" s="14" t="s">
        <v>33</v>
      </c>
      <c r="D2" s="15" t="s">
        <v>34</v>
      </c>
      <c r="E2" s="16" t="s">
        <v>35</v>
      </c>
      <c r="F2" s="17" t="s">
        <v>36</v>
      </c>
      <c r="G2" s="18">
        <v>2024.0</v>
      </c>
      <c r="H2" s="19">
        <v>45306.0</v>
      </c>
      <c r="I2" s="20"/>
      <c r="J2" s="21">
        <v>45672.0</v>
      </c>
      <c r="K2" s="16"/>
      <c r="L2" s="16"/>
      <c r="M2" s="22"/>
      <c r="N2" s="22">
        <v>72600.0</v>
      </c>
      <c r="O2" s="22">
        <v>72600.0</v>
      </c>
      <c r="P2" s="23" t="s">
        <v>37</v>
      </c>
      <c r="Q2" s="12" t="s">
        <v>38</v>
      </c>
      <c r="R2" s="24" t="str">
        <f t="shared" ref="R2:R102" si="1">IF(J2&lt;TODAY(), "ENCERRADO HÁ " &amp; TODAY()-J2 &amp; " DIAS", J2-TODAY())</f>
        <v>ENCERRADO HÁ 336 DIAS</v>
      </c>
      <c r="S2" s="25" t="s">
        <v>37</v>
      </c>
      <c r="T2" s="26" t="s">
        <v>39</v>
      </c>
      <c r="U2" s="27" t="s">
        <v>40</v>
      </c>
      <c r="V2" s="16" t="s">
        <v>41</v>
      </c>
      <c r="W2" s="28" t="s">
        <v>42</v>
      </c>
      <c r="X2" s="29"/>
      <c r="Y2" s="30"/>
      <c r="Z2" s="31"/>
      <c r="AA2" s="31"/>
      <c r="AB2" s="31"/>
      <c r="AC2" s="31"/>
      <c r="AD2" s="31"/>
      <c r="AE2" s="32" t="s">
        <v>37</v>
      </c>
    </row>
    <row r="3">
      <c r="A3" s="33" t="s">
        <v>31</v>
      </c>
      <c r="B3" s="13" t="s">
        <v>32</v>
      </c>
      <c r="C3" s="34" t="s">
        <v>43</v>
      </c>
      <c r="D3" s="35" t="s">
        <v>44</v>
      </c>
      <c r="E3" s="36" t="s">
        <v>35</v>
      </c>
      <c r="F3" s="37" t="s">
        <v>45</v>
      </c>
      <c r="G3" s="38">
        <v>2024.0</v>
      </c>
      <c r="H3" s="39">
        <v>45322.0</v>
      </c>
      <c r="I3" s="40"/>
      <c r="J3" s="41">
        <v>45688.0</v>
      </c>
      <c r="K3" s="36"/>
      <c r="L3" s="36"/>
      <c r="M3" s="42"/>
      <c r="N3" s="42">
        <v>107000.0</v>
      </c>
      <c r="O3" s="42">
        <v>107000.0</v>
      </c>
      <c r="P3" s="32" t="s">
        <v>37</v>
      </c>
      <c r="Q3" s="33" t="s">
        <v>38</v>
      </c>
      <c r="R3" s="24" t="str">
        <f t="shared" si="1"/>
        <v>ENCERRADO HÁ 320 DIAS</v>
      </c>
      <c r="S3" s="43" t="s">
        <v>37</v>
      </c>
      <c r="T3" s="36" t="s">
        <v>46</v>
      </c>
      <c r="U3" s="27" t="s">
        <v>47</v>
      </c>
      <c r="V3" s="36" t="s">
        <v>41</v>
      </c>
      <c r="W3" s="27" t="s">
        <v>42</v>
      </c>
      <c r="X3" s="44"/>
      <c r="Y3" s="45"/>
      <c r="Z3" s="46"/>
      <c r="AA3" s="46"/>
      <c r="AB3" s="46"/>
      <c r="AC3" s="46"/>
      <c r="AD3" s="46"/>
      <c r="AE3" s="32" t="s">
        <v>37</v>
      </c>
    </row>
    <row r="4">
      <c r="A4" s="33" t="s">
        <v>48</v>
      </c>
      <c r="B4" s="47" t="s">
        <v>49</v>
      </c>
      <c r="C4" s="48" t="s">
        <v>50</v>
      </c>
      <c r="D4" s="49" t="s">
        <v>51</v>
      </c>
      <c r="E4" s="28" t="s">
        <v>52</v>
      </c>
      <c r="F4" s="17" t="s">
        <v>53</v>
      </c>
      <c r="G4" s="18">
        <v>2024.0</v>
      </c>
      <c r="H4" s="50">
        <v>45321.0</v>
      </c>
      <c r="I4" s="20" t="s">
        <v>54</v>
      </c>
      <c r="J4" s="21">
        <v>46052.0</v>
      </c>
      <c r="K4" s="28" t="s">
        <v>55</v>
      </c>
      <c r="L4" s="28" t="s">
        <v>55</v>
      </c>
      <c r="M4" s="51">
        <v>1916.28</v>
      </c>
      <c r="N4" s="52">
        <f>M4*12</f>
        <v>22995.36</v>
      </c>
      <c r="O4" s="53">
        <v>32576.76</v>
      </c>
      <c r="P4" s="54" t="s">
        <v>56</v>
      </c>
      <c r="Q4" s="54" t="s">
        <v>57</v>
      </c>
      <c r="R4" s="24">
        <f t="shared" si="1"/>
        <v>44</v>
      </c>
      <c r="S4" s="43"/>
      <c r="T4" s="28" t="s">
        <v>58</v>
      </c>
      <c r="U4" s="27" t="s">
        <v>59</v>
      </c>
      <c r="V4" s="28" t="s">
        <v>60</v>
      </c>
      <c r="W4" s="27" t="s">
        <v>42</v>
      </c>
      <c r="X4" s="27">
        <v>166615.0</v>
      </c>
      <c r="Y4" s="55">
        <v>1916.28</v>
      </c>
      <c r="Z4" s="56">
        <v>45947.0</v>
      </c>
      <c r="AA4" s="56">
        <v>45960.0</v>
      </c>
      <c r="AB4" s="56">
        <v>45961.0</v>
      </c>
      <c r="AC4" s="56">
        <v>45961.0</v>
      </c>
      <c r="AD4" s="56">
        <v>45935.0</v>
      </c>
      <c r="AE4" s="27" t="s">
        <v>61</v>
      </c>
    </row>
    <row r="5">
      <c r="A5" s="57" t="s">
        <v>62</v>
      </c>
      <c r="B5" s="58" t="s">
        <v>63</v>
      </c>
      <c r="C5" s="59" t="s">
        <v>64</v>
      </c>
      <c r="D5" s="60" t="s">
        <v>65</v>
      </c>
      <c r="E5" s="61" t="s">
        <v>35</v>
      </c>
      <c r="F5" s="17" t="s">
        <v>66</v>
      </c>
      <c r="G5" s="18">
        <v>2024.0</v>
      </c>
      <c r="H5" s="62">
        <v>45373.0</v>
      </c>
      <c r="I5" s="63"/>
      <c r="J5" s="62">
        <v>45738.0</v>
      </c>
      <c r="K5" s="61"/>
      <c r="L5" s="61"/>
      <c r="M5" s="64"/>
      <c r="N5" s="65">
        <v>238402.0</v>
      </c>
      <c r="O5" s="65">
        <v>238402.0</v>
      </c>
      <c r="P5" s="66" t="s">
        <v>37</v>
      </c>
      <c r="Q5" s="54" t="s">
        <v>57</v>
      </c>
      <c r="R5" s="24" t="str">
        <f t="shared" si="1"/>
        <v>ENCERRADO HÁ 270 DIAS</v>
      </c>
      <c r="S5" s="43" t="s">
        <v>37</v>
      </c>
      <c r="T5" s="61" t="s">
        <v>67</v>
      </c>
      <c r="U5" s="27" t="s">
        <v>68</v>
      </c>
      <c r="V5" s="61" t="s">
        <v>41</v>
      </c>
      <c r="W5" s="36"/>
      <c r="X5" s="44"/>
      <c r="Y5" s="45"/>
      <c r="Z5" s="46"/>
      <c r="AA5" s="46"/>
      <c r="AB5" s="46"/>
      <c r="AC5" s="46"/>
      <c r="AD5" s="46"/>
      <c r="AE5" s="32" t="s">
        <v>37</v>
      </c>
    </row>
    <row r="6">
      <c r="A6" s="33" t="s">
        <v>62</v>
      </c>
      <c r="B6" s="67" t="s">
        <v>63</v>
      </c>
      <c r="C6" s="68" t="s">
        <v>64</v>
      </c>
      <c r="D6" s="69" t="s">
        <v>69</v>
      </c>
      <c r="E6" s="27" t="s">
        <v>35</v>
      </c>
      <c r="F6" s="37" t="s">
        <v>70</v>
      </c>
      <c r="G6" s="38">
        <v>2024.0</v>
      </c>
      <c r="H6" s="56">
        <v>45653.0</v>
      </c>
      <c r="I6" s="40"/>
      <c r="J6" s="41">
        <v>46018.0</v>
      </c>
      <c r="K6" s="27"/>
      <c r="L6" s="27"/>
      <c r="M6" s="70"/>
      <c r="N6" s="71">
        <v>163500.0</v>
      </c>
      <c r="O6" s="71">
        <v>204375.0</v>
      </c>
      <c r="P6" s="72" t="s">
        <v>56</v>
      </c>
      <c r="Q6" s="54" t="s">
        <v>57</v>
      </c>
      <c r="R6" s="24">
        <f t="shared" si="1"/>
        <v>10</v>
      </c>
      <c r="S6" s="43" t="s">
        <v>71</v>
      </c>
      <c r="T6" s="27" t="s">
        <v>67</v>
      </c>
      <c r="U6" s="27" t="s">
        <v>68</v>
      </c>
      <c r="V6" s="27" t="s">
        <v>41</v>
      </c>
      <c r="W6" s="27" t="s">
        <v>72</v>
      </c>
      <c r="X6" s="27" t="s">
        <v>55</v>
      </c>
      <c r="Y6" s="27" t="s">
        <v>55</v>
      </c>
      <c r="Z6" s="27" t="s">
        <v>55</v>
      </c>
      <c r="AA6" s="27" t="s">
        <v>55</v>
      </c>
      <c r="AB6" s="27" t="s">
        <v>55</v>
      </c>
      <c r="AC6" s="27" t="s">
        <v>55</v>
      </c>
      <c r="AD6" s="27" t="s">
        <v>55</v>
      </c>
      <c r="AE6" s="32"/>
    </row>
    <row r="7">
      <c r="A7" s="33" t="s">
        <v>73</v>
      </c>
      <c r="B7" s="67" t="s">
        <v>74</v>
      </c>
      <c r="C7" s="68" t="s">
        <v>75</v>
      </c>
      <c r="D7" s="69" t="s">
        <v>76</v>
      </c>
      <c r="E7" s="27" t="s">
        <v>77</v>
      </c>
      <c r="F7" s="37" t="s">
        <v>78</v>
      </c>
      <c r="G7" s="38">
        <v>2023.0</v>
      </c>
      <c r="H7" s="56">
        <v>45097.0</v>
      </c>
      <c r="I7" s="40" t="s">
        <v>79</v>
      </c>
      <c r="J7" s="73">
        <v>46193.0</v>
      </c>
      <c r="K7" s="40" t="s">
        <v>54</v>
      </c>
      <c r="L7" s="27" t="s">
        <v>55</v>
      </c>
      <c r="M7" s="70">
        <v>3026.62</v>
      </c>
      <c r="N7" s="70">
        <v>36319.44</v>
      </c>
      <c r="O7" s="74">
        <v>72302.98</v>
      </c>
      <c r="P7" s="72" t="s">
        <v>56</v>
      </c>
      <c r="Q7" s="54" t="s">
        <v>80</v>
      </c>
      <c r="R7" s="24">
        <f t="shared" si="1"/>
        <v>185</v>
      </c>
      <c r="S7" s="43"/>
      <c r="T7" s="27" t="s">
        <v>41</v>
      </c>
      <c r="U7" s="27" t="s">
        <v>81</v>
      </c>
      <c r="V7" s="27" t="s">
        <v>60</v>
      </c>
      <c r="W7" s="27" t="s">
        <v>42</v>
      </c>
      <c r="X7" s="75">
        <v>7872.0</v>
      </c>
      <c r="Y7" s="76">
        <v>3026.62</v>
      </c>
      <c r="Z7" s="77">
        <v>45961.0</v>
      </c>
      <c r="AA7" s="77">
        <v>45968.0</v>
      </c>
      <c r="AB7" s="77">
        <v>45971.0</v>
      </c>
      <c r="AC7" s="77">
        <v>45972.0</v>
      </c>
      <c r="AD7" s="77">
        <v>45972.0</v>
      </c>
      <c r="AE7" s="32" t="s">
        <v>61</v>
      </c>
    </row>
    <row r="8">
      <c r="A8" s="33" t="s">
        <v>82</v>
      </c>
      <c r="B8" s="67" t="s">
        <v>83</v>
      </c>
      <c r="C8" s="68" t="s">
        <v>84</v>
      </c>
      <c r="D8" s="69" t="s">
        <v>85</v>
      </c>
      <c r="E8" s="27" t="s">
        <v>35</v>
      </c>
      <c r="F8" s="37" t="s">
        <v>86</v>
      </c>
      <c r="G8" s="38">
        <v>2022.0</v>
      </c>
      <c r="H8" s="56">
        <v>44683.0</v>
      </c>
      <c r="I8" s="40" t="s">
        <v>79</v>
      </c>
      <c r="J8" s="73">
        <v>46143.0</v>
      </c>
      <c r="K8" s="27" t="s">
        <v>79</v>
      </c>
      <c r="L8" s="27" t="s">
        <v>55</v>
      </c>
      <c r="M8" s="70">
        <v>6603.4738</v>
      </c>
      <c r="N8" s="70">
        <f t="shared" ref="N8:N17" si="2">M8*12</f>
        <v>79241.6856</v>
      </c>
      <c r="O8" s="70">
        <v>221358.68</v>
      </c>
      <c r="P8" s="72" t="s">
        <v>56</v>
      </c>
      <c r="Q8" s="54" t="s">
        <v>80</v>
      </c>
      <c r="R8" s="24">
        <f t="shared" si="1"/>
        <v>135</v>
      </c>
      <c r="S8" s="78"/>
      <c r="T8" s="27" t="s">
        <v>41</v>
      </c>
      <c r="U8" s="27" t="s">
        <v>87</v>
      </c>
      <c r="V8" s="27" t="s">
        <v>60</v>
      </c>
      <c r="W8" s="27" t="s">
        <v>42</v>
      </c>
      <c r="X8" s="75">
        <v>1036.0</v>
      </c>
      <c r="Y8" s="76">
        <v>7668.89</v>
      </c>
      <c r="Z8" s="77">
        <v>45964.0</v>
      </c>
      <c r="AA8" s="77">
        <v>45964.0</v>
      </c>
      <c r="AB8" s="77">
        <v>45965.0</v>
      </c>
      <c r="AC8" s="77">
        <v>45968.0</v>
      </c>
      <c r="AD8" s="77">
        <v>45971.0</v>
      </c>
      <c r="AE8" s="33" t="s">
        <v>61</v>
      </c>
    </row>
    <row r="9">
      <c r="A9" s="33" t="s">
        <v>88</v>
      </c>
      <c r="B9" s="67" t="s">
        <v>89</v>
      </c>
      <c r="C9" s="68" t="s">
        <v>90</v>
      </c>
      <c r="D9" s="69" t="s">
        <v>85</v>
      </c>
      <c r="E9" s="27" t="s">
        <v>35</v>
      </c>
      <c r="F9" s="37" t="s">
        <v>91</v>
      </c>
      <c r="G9" s="38">
        <v>2022.0</v>
      </c>
      <c r="H9" s="56">
        <v>44691.0</v>
      </c>
      <c r="I9" s="40" t="s">
        <v>92</v>
      </c>
      <c r="J9" s="41">
        <v>46151.0</v>
      </c>
      <c r="K9" s="27" t="s">
        <v>79</v>
      </c>
      <c r="L9" s="27" t="s">
        <v>55</v>
      </c>
      <c r="M9" s="70">
        <v>3023.6</v>
      </c>
      <c r="N9" s="71">
        <f t="shared" si="2"/>
        <v>36283.2</v>
      </c>
      <c r="O9" s="70">
        <v>100406.36</v>
      </c>
      <c r="P9" s="72" t="s">
        <v>56</v>
      </c>
      <c r="Q9" s="54" t="s">
        <v>80</v>
      </c>
      <c r="R9" s="24">
        <f t="shared" si="1"/>
        <v>143</v>
      </c>
      <c r="S9" s="43"/>
      <c r="T9" s="27" t="s">
        <v>41</v>
      </c>
      <c r="U9" s="27" t="s">
        <v>93</v>
      </c>
      <c r="V9" s="27" t="s">
        <v>60</v>
      </c>
      <c r="W9" s="27" t="s">
        <v>42</v>
      </c>
      <c r="X9" s="75">
        <v>33.0</v>
      </c>
      <c r="Y9" s="77">
        <v>45961.0</v>
      </c>
      <c r="Z9" s="77">
        <v>45961.0</v>
      </c>
      <c r="AA9" s="77">
        <v>45961.0</v>
      </c>
      <c r="AB9" s="77">
        <v>45964.0</v>
      </c>
      <c r="AC9" s="77">
        <v>45972.0</v>
      </c>
      <c r="AD9" s="77">
        <v>45972.0</v>
      </c>
      <c r="AE9" s="32" t="s">
        <v>61</v>
      </c>
    </row>
    <row r="10">
      <c r="A10" s="33" t="s">
        <v>94</v>
      </c>
      <c r="B10" s="67" t="s">
        <v>95</v>
      </c>
      <c r="C10" s="68" t="s">
        <v>96</v>
      </c>
      <c r="D10" s="69" t="s">
        <v>85</v>
      </c>
      <c r="E10" s="27" t="s">
        <v>35</v>
      </c>
      <c r="F10" s="37" t="s">
        <v>97</v>
      </c>
      <c r="G10" s="38">
        <v>2022.0</v>
      </c>
      <c r="H10" s="56">
        <v>44713.0</v>
      </c>
      <c r="I10" s="40" t="s">
        <v>92</v>
      </c>
      <c r="J10" s="41">
        <v>46173.0</v>
      </c>
      <c r="K10" s="27" t="s">
        <v>54</v>
      </c>
      <c r="L10" s="27" t="s">
        <v>55</v>
      </c>
      <c r="M10" s="70">
        <f t="shared" ref="M10:M11" si="3">24868.4741+3290.2</f>
        <v>28158.6741</v>
      </c>
      <c r="N10" s="71">
        <f t="shared" si="2"/>
        <v>337904.0892</v>
      </c>
      <c r="O10" s="70">
        <v>863131.75</v>
      </c>
      <c r="P10" s="79" t="s">
        <v>56</v>
      </c>
      <c r="Q10" s="54" t="s">
        <v>80</v>
      </c>
      <c r="R10" s="24">
        <f t="shared" si="1"/>
        <v>165</v>
      </c>
      <c r="S10" s="43"/>
      <c r="T10" s="27" t="s">
        <v>41</v>
      </c>
      <c r="U10" s="27" t="s">
        <v>98</v>
      </c>
      <c r="V10" s="27" t="s">
        <v>60</v>
      </c>
      <c r="W10" s="27" t="s">
        <v>42</v>
      </c>
      <c r="X10" s="75">
        <v>936.0</v>
      </c>
      <c r="Y10" s="76">
        <v>24868.47</v>
      </c>
      <c r="Z10" s="77">
        <v>45961.0</v>
      </c>
      <c r="AA10" s="77">
        <v>45965.0</v>
      </c>
      <c r="AB10" s="77">
        <v>45965.0</v>
      </c>
      <c r="AC10" s="77">
        <v>45966.0</v>
      </c>
      <c r="AD10" s="77">
        <v>45966.0</v>
      </c>
      <c r="AE10" s="32" t="s">
        <v>61</v>
      </c>
    </row>
    <row r="11">
      <c r="A11" s="33" t="s">
        <v>99</v>
      </c>
      <c r="B11" s="67" t="s">
        <v>95</v>
      </c>
      <c r="C11" s="68" t="s">
        <v>96</v>
      </c>
      <c r="D11" s="69" t="s">
        <v>85</v>
      </c>
      <c r="E11" s="27" t="s">
        <v>35</v>
      </c>
      <c r="F11" s="37" t="s">
        <v>97</v>
      </c>
      <c r="G11" s="38">
        <v>2022.0</v>
      </c>
      <c r="H11" s="56">
        <v>44713.0</v>
      </c>
      <c r="I11" s="40" t="s">
        <v>92</v>
      </c>
      <c r="J11" s="73">
        <v>46173.0</v>
      </c>
      <c r="K11" s="27" t="s">
        <v>54</v>
      </c>
      <c r="L11" s="27" t="s">
        <v>55</v>
      </c>
      <c r="M11" s="70">
        <f t="shared" si="3"/>
        <v>28158.6741</v>
      </c>
      <c r="N11" s="71">
        <f t="shared" si="2"/>
        <v>337904.0892</v>
      </c>
      <c r="O11" s="70">
        <v>863131.75</v>
      </c>
      <c r="P11" s="79" t="s">
        <v>56</v>
      </c>
      <c r="Q11" s="54" t="s">
        <v>80</v>
      </c>
      <c r="R11" s="24">
        <f t="shared" si="1"/>
        <v>165</v>
      </c>
      <c r="S11" s="43"/>
      <c r="T11" s="27" t="s">
        <v>41</v>
      </c>
      <c r="U11" s="27" t="s">
        <v>100</v>
      </c>
      <c r="V11" s="27" t="s">
        <v>60</v>
      </c>
      <c r="W11" s="27" t="s">
        <v>42</v>
      </c>
      <c r="X11" s="75">
        <v>937.0</v>
      </c>
      <c r="Y11" s="76">
        <v>3290.2</v>
      </c>
      <c r="Z11" s="77">
        <v>45961.0</v>
      </c>
      <c r="AA11" s="77">
        <v>45965.0</v>
      </c>
      <c r="AB11" s="77">
        <v>45965.0</v>
      </c>
      <c r="AC11" s="77">
        <v>45967.0</v>
      </c>
      <c r="AD11" s="77">
        <v>45967.0</v>
      </c>
      <c r="AE11" s="32" t="s">
        <v>61</v>
      </c>
    </row>
    <row r="12">
      <c r="A12" s="33" t="s">
        <v>101</v>
      </c>
      <c r="B12" s="67" t="s">
        <v>102</v>
      </c>
      <c r="C12" s="68" t="s">
        <v>103</v>
      </c>
      <c r="D12" s="69" t="s">
        <v>104</v>
      </c>
      <c r="E12" s="27" t="s">
        <v>105</v>
      </c>
      <c r="F12" s="37" t="s">
        <v>106</v>
      </c>
      <c r="G12" s="38">
        <v>2022.0</v>
      </c>
      <c r="H12" s="56">
        <v>44713.0</v>
      </c>
      <c r="I12" s="40" t="s">
        <v>92</v>
      </c>
      <c r="J12" s="73">
        <v>46174.0</v>
      </c>
      <c r="K12" s="27" t="s">
        <v>54</v>
      </c>
      <c r="L12" s="27" t="s">
        <v>55</v>
      </c>
      <c r="M12" s="70">
        <v>648.09</v>
      </c>
      <c r="N12" s="71">
        <f t="shared" si="2"/>
        <v>7777.08</v>
      </c>
      <c r="O12" s="70">
        <v>20515.92</v>
      </c>
      <c r="P12" s="79" t="s">
        <v>56</v>
      </c>
      <c r="Q12" s="54" t="s">
        <v>57</v>
      </c>
      <c r="R12" s="24">
        <f t="shared" si="1"/>
        <v>166</v>
      </c>
      <c r="S12" s="43"/>
      <c r="T12" s="27" t="s">
        <v>58</v>
      </c>
      <c r="U12" s="27" t="s">
        <v>59</v>
      </c>
      <c r="V12" s="27" t="s">
        <v>60</v>
      </c>
      <c r="W12" s="27" t="s">
        <v>42</v>
      </c>
      <c r="X12" s="27">
        <v>6678.0</v>
      </c>
      <c r="Y12" s="55">
        <v>648.09</v>
      </c>
      <c r="Z12" s="56">
        <v>45963.0</v>
      </c>
      <c r="AA12" s="56">
        <v>45965.0</v>
      </c>
      <c r="AB12" s="56">
        <v>45966.0</v>
      </c>
      <c r="AC12" s="56"/>
      <c r="AD12" s="56"/>
      <c r="AE12" s="32" t="s">
        <v>107</v>
      </c>
    </row>
    <row r="13">
      <c r="A13" s="33" t="s">
        <v>108</v>
      </c>
      <c r="B13" s="67" t="s">
        <v>49</v>
      </c>
      <c r="C13" s="68" t="s">
        <v>109</v>
      </c>
      <c r="D13" s="69" t="s">
        <v>110</v>
      </c>
      <c r="E13" s="27" t="s">
        <v>52</v>
      </c>
      <c r="F13" s="37" t="s">
        <v>111</v>
      </c>
      <c r="G13" s="38">
        <v>2023.0</v>
      </c>
      <c r="H13" s="56">
        <v>45098.0</v>
      </c>
      <c r="I13" s="40" t="s">
        <v>79</v>
      </c>
      <c r="J13" s="73">
        <v>46193.0</v>
      </c>
      <c r="K13" s="27" t="s">
        <v>55</v>
      </c>
      <c r="L13" s="27" t="s">
        <v>55</v>
      </c>
      <c r="M13" s="70">
        <v>1300.0</v>
      </c>
      <c r="N13" s="71">
        <f t="shared" si="2"/>
        <v>15600</v>
      </c>
      <c r="O13" s="70">
        <v>23400.0</v>
      </c>
      <c r="P13" s="79" t="s">
        <v>56</v>
      </c>
      <c r="Q13" s="54" t="s">
        <v>57</v>
      </c>
      <c r="R13" s="24">
        <f t="shared" si="1"/>
        <v>185</v>
      </c>
      <c r="S13" s="43"/>
      <c r="T13" s="27" t="s">
        <v>58</v>
      </c>
      <c r="U13" s="27" t="s">
        <v>93</v>
      </c>
      <c r="V13" s="27" t="s">
        <v>60</v>
      </c>
      <c r="W13" s="27" t="s">
        <v>42</v>
      </c>
      <c r="X13" s="27">
        <v>166754.0</v>
      </c>
      <c r="Y13" s="55">
        <v>1300.0</v>
      </c>
      <c r="Z13" s="56">
        <v>45971.0</v>
      </c>
      <c r="AA13" s="56">
        <v>45972.0</v>
      </c>
      <c r="AB13" s="56">
        <v>45972.0</v>
      </c>
      <c r="AC13" s="56">
        <v>45973.0</v>
      </c>
      <c r="AD13" s="56">
        <v>45973.0</v>
      </c>
      <c r="AE13" s="32" t="s">
        <v>61</v>
      </c>
    </row>
    <row r="14">
      <c r="A14" s="33" t="s">
        <v>112</v>
      </c>
      <c r="B14" s="67" t="s">
        <v>113</v>
      </c>
      <c r="C14" s="68" t="s">
        <v>114</v>
      </c>
      <c r="D14" s="69" t="s">
        <v>115</v>
      </c>
      <c r="E14" s="27" t="s">
        <v>105</v>
      </c>
      <c r="F14" s="37" t="s">
        <v>86</v>
      </c>
      <c r="G14" s="38">
        <v>2024.0</v>
      </c>
      <c r="H14" s="56">
        <v>45435.0</v>
      </c>
      <c r="I14" s="40" t="s">
        <v>54</v>
      </c>
      <c r="J14" s="73">
        <v>46164.0</v>
      </c>
      <c r="K14" s="27" t="s">
        <v>55</v>
      </c>
      <c r="L14" s="27" t="s">
        <v>55</v>
      </c>
      <c r="M14" s="70">
        <f t="shared" ref="M14:M15" si="4">550+474.4</f>
        <v>1024.4</v>
      </c>
      <c r="N14" s="71">
        <f t="shared" si="2"/>
        <v>12292.8</v>
      </c>
      <c r="O14" s="70">
        <v>8669.6</v>
      </c>
      <c r="P14" s="79" t="s">
        <v>56</v>
      </c>
      <c r="Q14" s="54" t="s">
        <v>57</v>
      </c>
      <c r="R14" s="24">
        <f t="shared" si="1"/>
        <v>156</v>
      </c>
      <c r="S14" s="43"/>
      <c r="T14" s="27" t="s">
        <v>58</v>
      </c>
      <c r="U14" s="27" t="s">
        <v>87</v>
      </c>
      <c r="V14" s="27" t="s">
        <v>60</v>
      </c>
      <c r="W14" s="27" t="s">
        <v>72</v>
      </c>
      <c r="X14" s="27"/>
      <c r="Y14" s="55"/>
      <c r="Z14" s="56"/>
      <c r="AA14" s="56"/>
      <c r="AB14" s="56"/>
      <c r="AC14" s="56"/>
      <c r="AD14" s="56"/>
      <c r="AE14" s="32" t="s">
        <v>107</v>
      </c>
    </row>
    <row r="15">
      <c r="A15" s="33" t="s">
        <v>116</v>
      </c>
      <c r="B15" s="67" t="s">
        <v>113</v>
      </c>
      <c r="C15" s="68" t="s">
        <v>114</v>
      </c>
      <c r="D15" s="69" t="s">
        <v>115</v>
      </c>
      <c r="E15" s="27" t="s">
        <v>105</v>
      </c>
      <c r="F15" s="37" t="s">
        <v>86</v>
      </c>
      <c r="G15" s="38">
        <v>2024.0</v>
      </c>
      <c r="H15" s="56">
        <v>45435.0</v>
      </c>
      <c r="I15" s="40" t="s">
        <v>54</v>
      </c>
      <c r="J15" s="73">
        <v>46164.0</v>
      </c>
      <c r="K15" s="27" t="s">
        <v>55</v>
      </c>
      <c r="L15" s="27" t="s">
        <v>55</v>
      </c>
      <c r="M15" s="70">
        <f t="shared" si="4"/>
        <v>1024.4</v>
      </c>
      <c r="N15" s="71">
        <f t="shared" si="2"/>
        <v>12292.8</v>
      </c>
      <c r="O15" s="70">
        <v>8669.6</v>
      </c>
      <c r="P15" s="79" t="s">
        <v>56</v>
      </c>
      <c r="Q15" s="54" t="s">
        <v>57</v>
      </c>
      <c r="R15" s="24">
        <f t="shared" si="1"/>
        <v>156</v>
      </c>
      <c r="S15" s="43"/>
      <c r="T15" s="27" t="s">
        <v>58</v>
      </c>
      <c r="U15" s="27" t="s">
        <v>59</v>
      </c>
      <c r="V15" s="27" t="s">
        <v>60</v>
      </c>
      <c r="W15" s="27" t="s">
        <v>72</v>
      </c>
      <c r="X15" s="27"/>
      <c r="Y15" s="55"/>
      <c r="Z15" s="56"/>
      <c r="AA15" s="56"/>
      <c r="AB15" s="56"/>
      <c r="AC15" s="56"/>
      <c r="AD15" s="56"/>
      <c r="AE15" s="32" t="s">
        <v>107</v>
      </c>
    </row>
    <row r="16">
      <c r="A16" s="33" t="s">
        <v>117</v>
      </c>
      <c r="B16" s="67" t="s">
        <v>118</v>
      </c>
      <c r="C16" s="68" t="s">
        <v>119</v>
      </c>
      <c r="D16" s="69" t="s">
        <v>120</v>
      </c>
      <c r="E16" s="27" t="s">
        <v>105</v>
      </c>
      <c r="F16" s="37" t="s">
        <v>121</v>
      </c>
      <c r="G16" s="38">
        <v>2024.0</v>
      </c>
      <c r="H16" s="56">
        <v>45356.0</v>
      </c>
      <c r="I16" s="40" t="s">
        <v>54</v>
      </c>
      <c r="J16" s="73">
        <v>46086.0</v>
      </c>
      <c r="K16" s="27" t="s">
        <v>55</v>
      </c>
      <c r="L16" s="27" t="s">
        <v>55</v>
      </c>
      <c r="M16" s="70">
        <v>810.0</v>
      </c>
      <c r="N16" s="71">
        <f t="shared" si="2"/>
        <v>9720</v>
      </c>
      <c r="O16" s="71">
        <f>M16*13</f>
        <v>10530</v>
      </c>
      <c r="P16" s="79" t="s">
        <v>56</v>
      </c>
      <c r="Q16" s="54" t="s">
        <v>57</v>
      </c>
      <c r="R16" s="24">
        <f t="shared" si="1"/>
        <v>78</v>
      </c>
      <c r="S16" s="43"/>
      <c r="T16" s="27" t="s">
        <v>58</v>
      </c>
      <c r="U16" s="27" t="s">
        <v>59</v>
      </c>
      <c r="V16" s="27" t="s">
        <v>60</v>
      </c>
      <c r="W16" s="27" t="s">
        <v>42</v>
      </c>
      <c r="X16" s="27">
        <v>17442.0</v>
      </c>
      <c r="Y16" s="55">
        <v>810.0</v>
      </c>
      <c r="Z16" s="56">
        <v>45962.0</v>
      </c>
      <c r="AA16" s="56">
        <v>45962.0</v>
      </c>
      <c r="AB16" s="56">
        <v>45964.0</v>
      </c>
      <c r="AC16" s="56">
        <v>45965.0</v>
      </c>
      <c r="AD16" s="56">
        <v>45966.0</v>
      </c>
      <c r="AE16" s="32" t="s">
        <v>61</v>
      </c>
    </row>
    <row r="17">
      <c r="A17" s="33" t="s">
        <v>122</v>
      </c>
      <c r="B17" s="67" t="s">
        <v>123</v>
      </c>
      <c r="C17" s="68" t="s">
        <v>124</v>
      </c>
      <c r="D17" s="69" t="s">
        <v>125</v>
      </c>
      <c r="E17" s="27" t="s">
        <v>35</v>
      </c>
      <c r="F17" s="37" t="s">
        <v>126</v>
      </c>
      <c r="G17" s="38">
        <v>2023.0</v>
      </c>
      <c r="H17" s="41">
        <v>45097.0</v>
      </c>
      <c r="I17" s="40" t="s">
        <v>54</v>
      </c>
      <c r="J17" s="73">
        <v>45828.0</v>
      </c>
      <c r="K17" s="27" t="s">
        <v>55</v>
      </c>
      <c r="L17" s="27" t="s">
        <v>55</v>
      </c>
      <c r="M17" s="70">
        <v>10274.1</v>
      </c>
      <c r="N17" s="71">
        <f t="shared" si="2"/>
        <v>123289.2</v>
      </c>
      <c r="O17" s="70">
        <v>189279.08</v>
      </c>
      <c r="P17" s="79" t="s">
        <v>37</v>
      </c>
      <c r="Q17" s="54" t="s">
        <v>80</v>
      </c>
      <c r="R17" s="24" t="str">
        <f t="shared" si="1"/>
        <v>ENCERRADO HÁ 180 DIAS</v>
      </c>
      <c r="S17" s="43" t="s">
        <v>37</v>
      </c>
      <c r="T17" s="27" t="s">
        <v>41</v>
      </c>
      <c r="U17" s="27" t="s">
        <v>98</v>
      </c>
      <c r="V17" s="27" t="s">
        <v>60</v>
      </c>
      <c r="W17" s="27" t="s">
        <v>42</v>
      </c>
      <c r="X17" s="44"/>
      <c r="Y17" s="45"/>
      <c r="Z17" s="46"/>
      <c r="AA17" s="46"/>
      <c r="AB17" s="46"/>
      <c r="AC17" s="46"/>
      <c r="AD17" s="46"/>
      <c r="AE17" s="32" t="s">
        <v>37</v>
      </c>
    </row>
    <row r="18">
      <c r="A18" s="33" t="s">
        <v>127</v>
      </c>
      <c r="B18" s="67" t="s">
        <v>128</v>
      </c>
      <c r="C18" s="68" t="s">
        <v>129</v>
      </c>
      <c r="D18" s="69" t="s">
        <v>130</v>
      </c>
      <c r="E18" s="27" t="s">
        <v>35</v>
      </c>
      <c r="F18" s="37" t="s">
        <v>131</v>
      </c>
      <c r="G18" s="38">
        <v>2021.0</v>
      </c>
      <c r="H18" s="41">
        <v>44348.0</v>
      </c>
      <c r="I18" s="40" t="s">
        <v>92</v>
      </c>
      <c r="J18" s="73">
        <v>45808.0</v>
      </c>
      <c r="K18" s="27" t="s">
        <v>132</v>
      </c>
      <c r="L18" s="27" t="s">
        <v>55</v>
      </c>
      <c r="M18" s="70">
        <v>4816.56</v>
      </c>
      <c r="N18" s="71">
        <v>59544.72</v>
      </c>
      <c r="O18" s="70">
        <v>197979.9</v>
      </c>
      <c r="P18" s="79" t="s">
        <v>37</v>
      </c>
      <c r="Q18" s="54" t="s">
        <v>80</v>
      </c>
      <c r="R18" s="24" t="str">
        <f t="shared" si="1"/>
        <v>ENCERRADO HÁ 200 DIAS</v>
      </c>
      <c r="S18" s="43" t="s">
        <v>37</v>
      </c>
      <c r="T18" s="27" t="s">
        <v>41</v>
      </c>
      <c r="U18" s="27" t="s">
        <v>98</v>
      </c>
      <c r="V18" s="27" t="s">
        <v>60</v>
      </c>
      <c r="W18" s="27" t="s">
        <v>42</v>
      </c>
      <c r="X18" s="44"/>
      <c r="Y18" s="45"/>
      <c r="Z18" s="46"/>
      <c r="AA18" s="46"/>
      <c r="AB18" s="46"/>
      <c r="AC18" s="46"/>
      <c r="AD18" s="46"/>
      <c r="AE18" s="32" t="s">
        <v>37</v>
      </c>
    </row>
    <row r="19">
      <c r="A19" s="33" t="s">
        <v>133</v>
      </c>
      <c r="B19" s="67" t="s">
        <v>134</v>
      </c>
      <c r="C19" s="68" t="s">
        <v>135</v>
      </c>
      <c r="D19" s="69" t="s">
        <v>136</v>
      </c>
      <c r="E19" s="27" t="s">
        <v>105</v>
      </c>
      <c r="F19" s="37" t="s">
        <v>137</v>
      </c>
      <c r="G19" s="38">
        <v>2019.0</v>
      </c>
      <c r="H19" s="56">
        <v>43739.0</v>
      </c>
      <c r="I19" s="40" t="s">
        <v>54</v>
      </c>
      <c r="J19" s="73">
        <v>46296.0</v>
      </c>
      <c r="K19" s="27" t="s">
        <v>55</v>
      </c>
      <c r="L19" s="27" t="s">
        <v>55</v>
      </c>
      <c r="M19" s="70">
        <v>45575.39</v>
      </c>
      <c r="N19" s="71">
        <f>M19*24</f>
        <v>1093809.36</v>
      </c>
      <c r="O19" s="70">
        <v>2567769.29</v>
      </c>
      <c r="P19" s="79" t="s">
        <v>56</v>
      </c>
      <c r="Q19" s="54" t="s">
        <v>57</v>
      </c>
      <c r="R19" s="24">
        <f t="shared" si="1"/>
        <v>288</v>
      </c>
      <c r="S19" s="43"/>
      <c r="T19" s="27" t="s">
        <v>41</v>
      </c>
      <c r="U19" s="27" t="s">
        <v>138</v>
      </c>
      <c r="V19" s="27" t="s">
        <v>60</v>
      </c>
      <c r="W19" s="27" t="s">
        <v>42</v>
      </c>
      <c r="X19" s="27" t="s">
        <v>139</v>
      </c>
      <c r="Y19" s="55">
        <v>45575.39</v>
      </c>
      <c r="Z19" s="56">
        <v>45964.0</v>
      </c>
      <c r="AA19" s="56">
        <v>45964.0</v>
      </c>
      <c r="AB19" s="56">
        <v>45965.0</v>
      </c>
      <c r="AC19" s="56">
        <v>45966.0</v>
      </c>
      <c r="AD19" s="56">
        <v>45966.0</v>
      </c>
      <c r="AE19" s="32" t="s">
        <v>61</v>
      </c>
    </row>
    <row r="20">
      <c r="A20" s="33" t="s">
        <v>140</v>
      </c>
      <c r="B20" s="67" t="s">
        <v>141</v>
      </c>
      <c r="C20" s="68" t="s">
        <v>142</v>
      </c>
      <c r="D20" s="69" t="s">
        <v>143</v>
      </c>
      <c r="E20" s="27" t="s">
        <v>105</v>
      </c>
      <c r="F20" s="37" t="s">
        <v>144</v>
      </c>
      <c r="G20" s="38">
        <v>2021.0</v>
      </c>
      <c r="H20" s="56">
        <v>44317.0</v>
      </c>
      <c r="I20" s="40" t="s">
        <v>55</v>
      </c>
      <c r="J20" s="73">
        <v>46143.0</v>
      </c>
      <c r="K20" s="27" t="s">
        <v>55</v>
      </c>
      <c r="L20" s="27" t="s">
        <v>55</v>
      </c>
      <c r="M20" s="70">
        <v>7820.02</v>
      </c>
      <c r="N20" s="71">
        <f>6700*12+6981.52*12+7820.02*36</f>
        <v>445698.96</v>
      </c>
      <c r="O20" s="70">
        <v>342862.72</v>
      </c>
      <c r="P20" s="79" t="s">
        <v>56</v>
      </c>
      <c r="Q20" s="54" t="s">
        <v>57</v>
      </c>
      <c r="R20" s="24">
        <f t="shared" si="1"/>
        <v>135</v>
      </c>
      <c r="S20" s="43"/>
      <c r="T20" s="27" t="s">
        <v>41</v>
      </c>
      <c r="U20" s="27" t="s">
        <v>145</v>
      </c>
      <c r="V20" s="27" t="s">
        <v>60</v>
      </c>
      <c r="W20" s="27" t="s">
        <v>42</v>
      </c>
      <c r="X20" s="55" t="s">
        <v>146</v>
      </c>
      <c r="Y20" s="55">
        <v>7820.0</v>
      </c>
      <c r="Z20" s="56">
        <v>45960.0</v>
      </c>
      <c r="AA20" s="56">
        <v>45950.0</v>
      </c>
      <c r="AB20" s="27" t="s">
        <v>147</v>
      </c>
      <c r="AC20" s="27" t="s">
        <v>147</v>
      </c>
      <c r="AD20" s="80">
        <v>45961.0</v>
      </c>
      <c r="AE20" s="32" t="s">
        <v>61</v>
      </c>
    </row>
    <row r="21">
      <c r="A21" s="33" t="s">
        <v>148</v>
      </c>
      <c r="B21" s="67" t="s">
        <v>149</v>
      </c>
      <c r="C21" s="68" t="s">
        <v>150</v>
      </c>
      <c r="D21" s="69" t="s">
        <v>76</v>
      </c>
      <c r="E21" s="27" t="s">
        <v>35</v>
      </c>
      <c r="F21" s="37" t="s">
        <v>151</v>
      </c>
      <c r="G21" s="38">
        <v>2023.0</v>
      </c>
      <c r="H21" s="41">
        <v>45174.0</v>
      </c>
      <c r="I21" s="40" t="s">
        <v>79</v>
      </c>
      <c r="J21" s="73">
        <v>46270.0</v>
      </c>
      <c r="K21" s="27" t="s">
        <v>55</v>
      </c>
      <c r="L21" s="27" t="s">
        <v>55</v>
      </c>
      <c r="M21" s="70">
        <v>2615.22</v>
      </c>
      <c r="N21" s="71">
        <f t="shared" ref="N21:N22" si="5">M21*12</f>
        <v>31382.64</v>
      </c>
      <c r="O21" s="70">
        <v>67777.76</v>
      </c>
      <c r="P21" s="79" t="s">
        <v>56</v>
      </c>
      <c r="Q21" s="54" t="s">
        <v>80</v>
      </c>
      <c r="R21" s="24">
        <f t="shared" si="1"/>
        <v>262</v>
      </c>
      <c r="S21" s="43" t="s">
        <v>152</v>
      </c>
      <c r="T21" s="27" t="s">
        <v>41</v>
      </c>
      <c r="U21" s="27" t="s">
        <v>153</v>
      </c>
      <c r="V21" s="27" t="s">
        <v>60</v>
      </c>
      <c r="W21" s="27" t="s">
        <v>42</v>
      </c>
      <c r="X21" s="75">
        <v>1016.0</v>
      </c>
      <c r="Y21" s="76">
        <v>3274.47</v>
      </c>
      <c r="Z21" s="77">
        <v>45961.0</v>
      </c>
      <c r="AA21" s="77">
        <v>45961.0</v>
      </c>
      <c r="AB21" s="77">
        <v>45964.0</v>
      </c>
      <c r="AC21" s="77">
        <v>45974.0</v>
      </c>
      <c r="AD21" s="77">
        <v>45974.0</v>
      </c>
      <c r="AE21" s="32" t="s">
        <v>154</v>
      </c>
    </row>
    <row r="22">
      <c r="A22" s="33" t="s">
        <v>155</v>
      </c>
      <c r="B22" s="67" t="s">
        <v>156</v>
      </c>
      <c r="C22" s="68" t="s">
        <v>157</v>
      </c>
      <c r="D22" s="69" t="s">
        <v>158</v>
      </c>
      <c r="E22" s="27" t="s">
        <v>35</v>
      </c>
      <c r="F22" s="37" t="s">
        <v>159</v>
      </c>
      <c r="G22" s="38">
        <v>2021.0</v>
      </c>
      <c r="H22" s="56">
        <v>44411.0</v>
      </c>
      <c r="I22" s="40" t="s">
        <v>160</v>
      </c>
      <c r="J22" s="73">
        <v>46237.0</v>
      </c>
      <c r="K22" s="27" t="s">
        <v>55</v>
      </c>
      <c r="L22" s="27" t="s">
        <v>160</v>
      </c>
      <c r="M22" s="70">
        <v>63067.54</v>
      </c>
      <c r="N22" s="71">
        <f t="shared" si="5"/>
        <v>756810.48</v>
      </c>
      <c r="O22" s="70">
        <v>2404083.38</v>
      </c>
      <c r="P22" s="72" t="s">
        <v>56</v>
      </c>
      <c r="Q22" s="54" t="s">
        <v>80</v>
      </c>
      <c r="R22" s="24">
        <f t="shared" si="1"/>
        <v>229</v>
      </c>
      <c r="S22" s="43"/>
      <c r="T22" s="27" t="s">
        <v>161</v>
      </c>
      <c r="U22" s="27" t="s">
        <v>59</v>
      </c>
      <c r="V22" s="27" t="s">
        <v>60</v>
      </c>
      <c r="W22" s="27" t="s">
        <v>42</v>
      </c>
      <c r="X22" s="75" t="s">
        <v>162</v>
      </c>
      <c r="Y22" s="76" t="s">
        <v>163</v>
      </c>
      <c r="Z22" s="77">
        <v>45960.0</v>
      </c>
      <c r="AA22" s="77">
        <v>45960.0</v>
      </c>
      <c r="AB22" s="77">
        <v>45961.0</v>
      </c>
      <c r="AC22" s="77">
        <v>45961.0</v>
      </c>
      <c r="AD22" s="77">
        <v>45966.0</v>
      </c>
      <c r="AE22" s="32" t="s">
        <v>61</v>
      </c>
    </row>
    <row r="23">
      <c r="A23" s="33" t="s">
        <v>164</v>
      </c>
      <c r="B23" s="67" t="s">
        <v>165</v>
      </c>
      <c r="C23" s="68" t="s">
        <v>166</v>
      </c>
      <c r="D23" s="69" t="s">
        <v>167</v>
      </c>
      <c r="E23" s="27" t="s">
        <v>35</v>
      </c>
      <c r="F23" s="37" t="s">
        <v>168</v>
      </c>
      <c r="G23" s="38">
        <v>2022.0</v>
      </c>
      <c r="H23" s="41">
        <v>44831.0</v>
      </c>
      <c r="I23" s="40" t="s">
        <v>79</v>
      </c>
      <c r="J23" s="73">
        <v>45743.0</v>
      </c>
      <c r="K23" s="27" t="s">
        <v>54</v>
      </c>
      <c r="L23" s="27" t="s">
        <v>55</v>
      </c>
      <c r="M23" s="70">
        <f>4468.8*3</f>
        <v>13406.4</v>
      </c>
      <c r="N23" s="71">
        <f>12507*3+13406.4*27</f>
        <v>399493.8</v>
      </c>
      <c r="O23" s="70">
        <f>N23</f>
        <v>399493.8</v>
      </c>
      <c r="P23" s="72" t="s">
        <v>37</v>
      </c>
      <c r="Q23" s="54" t="s">
        <v>57</v>
      </c>
      <c r="R23" s="24" t="str">
        <f t="shared" si="1"/>
        <v>ENCERRADO HÁ 265 DIAS</v>
      </c>
      <c r="S23" s="43" t="s">
        <v>37</v>
      </c>
      <c r="T23" s="27" t="s">
        <v>169</v>
      </c>
      <c r="U23" s="27" t="s">
        <v>98</v>
      </c>
      <c r="V23" s="27" t="s">
        <v>41</v>
      </c>
      <c r="W23" s="27" t="s">
        <v>42</v>
      </c>
      <c r="X23" s="44"/>
      <c r="Y23" s="45"/>
      <c r="Z23" s="46"/>
      <c r="AA23" s="46"/>
      <c r="AB23" s="46"/>
      <c r="AC23" s="46"/>
      <c r="AD23" s="46"/>
      <c r="AE23" s="32" t="s">
        <v>37</v>
      </c>
    </row>
    <row r="24">
      <c r="A24" s="33" t="s">
        <v>170</v>
      </c>
      <c r="B24" s="67" t="s">
        <v>171</v>
      </c>
      <c r="C24" s="68" t="s">
        <v>172</v>
      </c>
      <c r="D24" s="69" t="s">
        <v>173</v>
      </c>
      <c r="E24" s="27" t="s">
        <v>35</v>
      </c>
      <c r="F24" s="37" t="s">
        <v>174</v>
      </c>
      <c r="G24" s="38">
        <v>2022.0</v>
      </c>
      <c r="H24" s="56">
        <v>44895.0</v>
      </c>
      <c r="I24" s="40" t="s">
        <v>79</v>
      </c>
      <c r="J24" s="73">
        <v>45991.0</v>
      </c>
      <c r="K24" s="27" t="s">
        <v>54</v>
      </c>
      <c r="L24" s="27" t="s">
        <v>55</v>
      </c>
      <c r="M24" s="70">
        <v>5886.74</v>
      </c>
      <c r="N24" s="70">
        <f>5495.75+5886.74*(12+12+11)</f>
        <v>211531.65</v>
      </c>
      <c r="O24" s="70">
        <f>5495.75+5886.74*(12+12+3)</f>
        <v>164437.73</v>
      </c>
      <c r="P24" s="72" t="s">
        <v>56</v>
      </c>
      <c r="Q24" s="54" t="s">
        <v>80</v>
      </c>
      <c r="R24" s="24" t="str">
        <f t="shared" si="1"/>
        <v>ENCERRADO HÁ 17 DIAS</v>
      </c>
      <c r="S24" s="43" t="s">
        <v>175</v>
      </c>
      <c r="T24" s="27" t="s">
        <v>41</v>
      </c>
      <c r="U24" s="27" t="s">
        <v>59</v>
      </c>
      <c r="V24" s="27" t="s">
        <v>60</v>
      </c>
      <c r="W24" s="27" t="s">
        <v>42</v>
      </c>
      <c r="X24" s="75">
        <v>2265.0</v>
      </c>
      <c r="Y24" s="76">
        <v>7034.52</v>
      </c>
      <c r="Z24" s="77">
        <v>45961.0</v>
      </c>
      <c r="AA24" s="77">
        <v>45961.0</v>
      </c>
      <c r="AB24" s="77">
        <v>45964.0</v>
      </c>
      <c r="AC24" s="77">
        <v>45965.0</v>
      </c>
      <c r="AD24" s="77">
        <v>45966.0</v>
      </c>
      <c r="AE24" s="32" t="s">
        <v>61</v>
      </c>
    </row>
    <row r="25">
      <c r="A25" s="33" t="s">
        <v>176</v>
      </c>
      <c r="B25" s="67" t="s">
        <v>171</v>
      </c>
      <c r="C25" s="68" t="s">
        <v>177</v>
      </c>
      <c r="D25" s="69" t="s">
        <v>178</v>
      </c>
      <c r="E25" s="27" t="s">
        <v>35</v>
      </c>
      <c r="F25" s="37" t="s">
        <v>179</v>
      </c>
      <c r="G25" s="38">
        <v>2023.0</v>
      </c>
      <c r="H25" s="41">
        <v>45133.0</v>
      </c>
      <c r="I25" s="40" t="s">
        <v>79</v>
      </c>
      <c r="J25" s="73">
        <v>46229.0</v>
      </c>
      <c r="K25" s="27" t="s">
        <v>54</v>
      </c>
      <c r="L25" s="27" t="s">
        <v>55</v>
      </c>
      <c r="M25" s="70">
        <v>3533.92</v>
      </c>
      <c r="N25" s="70">
        <f>M25*24</f>
        <v>84814.08</v>
      </c>
      <c r="O25" s="70">
        <v>53526.8</v>
      </c>
      <c r="P25" s="72" t="s">
        <v>56</v>
      </c>
      <c r="Q25" s="54" t="s">
        <v>80</v>
      </c>
      <c r="R25" s="24">
        <f t="shared" si="1"/>
        <v>221</v>
      </c>
      <c r="S25" s="78" t="s">
        <v>152</v>
      </c>
      <c r="T25" s="27" t="s">
        <v>41</v>
      </c>
      <c r="U25" s="27" t="s">
        <v>180</v>
      </c>
      <c r="V25" s="27" t="s">
        <v>60</v>
      </c>
      <c r="W25" s="27" t="s">
        <v>42</v>
      </c>
      <c r="X25" s="75">
        <v>2266.0</v>
      </c>
      <c r="Y25" s="76">
        <v>3533.92</v>
      </c>
      <c r="Z25" s="77">
        <v>45961.0</v>
      </c>
      <c r="AA25" s="77">
        <v>45961.0</v>
      </c>
      <c r="AB25" s="77">
        <v>45964.0</v>
      </c>
      <c r="AC25" s="77">
        <v>45964.0</v>
      </c>
      <c r="AD25" s="77">
        <v>45966.0</v>
      </c>
      <c r="AE25" s="33" t="s">
        <v>61</v>
      </c>
    </row>
    <row r="26">
      <c r="A26" s="33" t="s">
        <v>181</v>
      </c>
      <c r="B26" s="69" t="s">
        <v>182</v>
      </c>
      <c r="C26" s="68" t="s">
        <v>183</v>
      </c>
      <c r="D26" s="69" t="s">
        <v>184</v>
      </c>
      <c r="E26" s="27" t="s">
        <v>52</v>
      </c>
      <c r="F26" s="37" t="s">
        <v>185</v>
      </c>
      <c r="G26" s="38">
        <v>2022.0</v>
      </c>
      <c r="H26" s="41">
        <v>44907.0</v>
      </c>
      <c r="I26" s="40" t="s">
        <v>79</v>
      </c>
      <c r="J26" s="73">
        <v>46003.0</v>
      </c>
      <c r="K26" s="27" t="s">
        <v>55</v>
      </c>
      <c r="L26" s="27" t="s">
        <v>55</v>
      </c>
      <c r="M26" s="70"/>
      <c r="N26" s="70">
        <v>491999.6466</v>
      </c>
      <c r="O26" s="70">
        <v>875401.96</v>
      </c>
      <c r="P26" s="72" t="s">
        <v>56</v>
      </c>
      <c r="Q26" s="54" t="s">
        <v>57</v>
      </c>
      <c r="R26" s="24" t="str">
        <f t="shared" si="1"/>
        <v>ENCERRADO HÁ 5 DIAS</v>
      </c>
      <c r="S26" s="43" t="s">
        <v>71</v>
      </c>
      <c r="T26" s="27" t="s">
        <v>161</v>
      </c>
      <c r="U26" s="27" t="s">
        <v>180</v>
      </c>
      <c r="V26" s="27" t="s">
        <v>60</v>
      </c>
      <c r="W26" s="27" t="s">
        <v>42</v>
      </c>
      <c r="X26" s="27">
        <v>135965.0</v>
      </c>
      <c r="Y26" s="55">
        <v>32132.62</v>
      </c>
      <c r="Z26" s="56">
        <v>45961.0</v>
      </c>
      <c r="AA26" s="56">
        <v>45961.0</v>
      </c>
      <c r="AB26" s="56">
        <v>45964.0</v>
      </c>
      <c r="AC26" s="56">
        <v>45964.0</v>
      </c>
      <c r="AD26" s="56">
        <v>45964.0</v>
      </c>
      <c r="AE26" s="32" t="s">
        <v>61</v>
      </c>
    </row>
    <row r="27">
      <c r="A27" s="33" t="s">
        <v>186</v>
      </c>
      <c r="B27" s="67" t="s">
        <v>187</v>
      </c>
      <c r="C27" s="68" t="s">
        <v>188</v>
      </c>
      <c r="D27" s="69" t="s">
        <v>189</v>
      </c>
      <c r="E27" s="27" t="s">
        <v>35</v>
      </c>
      <c r="F27" s="37" t="s">
        <v>91</v>
      </c>
      <c r="G27" s="38">
        <v>2023.0</v>
      </c>
      <c r="H27" s="41">
        <v>45231.0</v>
      </c>
      <c r="I27" s="40" t="s">
        <v>79</v>
      </c>
      <c r="J27" s="73">
        <v>46327.0</v>
      </c>
      <c r="K27" s="27" t="s">
        <v>55</v>
      </c>
      <c r="L27" s="27" t="s">
        <v>55</v>
      </c>
      <c r="M27" s="70">
        <v>18286.55</v>
      </c>
      <c r="N27" s="70">
        <f t="shared" ref="N27:N28" si="6">M27*12</f>
        <v>219438.6</v>
      </c>
      <c r="O27" s="70">
        <v>566883.05</v>
      </c>
      <c r="P27" s="72" t="s">
        <v>56</v>
      </c>
      <c r="Q27" s="54" t="s">
        <v>80</v>
      </c>
      <c r="R27" s="24">
        <f t="shared" si="1"/>
        <v>319</v>
      </c>
      <c r="S27" s="43" t="s">
        <v>71</v>
      </c>
      <c r="T27" s="27" t="s">
        <v>161</v>
      </c>
      <c r="U27" s="27" t="s">
        <v>93</v>
      </c>
      <c r="V27" s="27" t="s">
        <v>60</v>
      </c>
      <c r="W27" s="27" t="s">
        <v>42</v>
      </c>
      <c r="X27" s="75">
        <v>11239.0</v>
      </c>
      <c r="Y27" s="76">
        <v>18286.55</v>
      </c>
      <c r="Z27" s="77">
        <v>45990.0</v>
      </c>
      <c r="AA27" s="77"/>
      <c r="AB27" s="77">
        <v>45972.0</v>
      </c>
      <c r="AC27" s="77">
        <v>45972.0</v>
      </c>
      <c r="AD27" s="77">
        <v>45972.0</v>
      </c>
      <c r="AE27" s="32" t="s">
        <v>61</v>
      </c>
    </row>
    <row r="28">
      <c r="A28" s="33" t="s">
        <v>190</v>
      </c>
      <c r="B28" s="67" t="s">
        <v>187</v>
      </c>
      <c r="C28" s="68" t="s">
        <v>191</v>
      </c>
      <c r="D28" s="69" t="s">
        <v>189</v>
      </c>
      <c r="E28" s="27" t="s">
        <v>35</v>
      </c>
      <c r="F28" s="37" t="s">
        <v>91</v>
      </c>
      <c r="G28" s="38">
        <v>2023.0</v>
      </c>
      <c r="H28" s="41">
        <v>45231.0</v>
      </c>
      <c r="I28" s="40" t="s">
        <v>79</v>
      </c>
      <c r="J28" s="73">
        <v>46327.0</v>
      </c>
      <c r="K28" s="27" t="s">
        <v>55</v>
      </c>
      <c r="L28" s="27" t="s">
        <v>55</v>
      </c>
      <c r="M28" s="70">
        <v>18286.55</v>
      </c>
      <c r="N28" s="70">
        <f t="shared" si="6"/>
        <v>219438.6</v>
      </c>
      <c r="O28" s="70">
        <v>566883.05</v>
      </c>
      <c r="P28" s="72" t="s">
        <v>56</v>
      </c>
      <c r="Q28" s="54" t="s">
        <v>80</v>
      </c>
      <c r="R28" s="24">
        <f t="shared" si="1"/>
        <v>319</v>
      </c>
      <c r="S28" s="43" t="s">
        <v>71</v>
      </c>
      <c r="T28" s="27" t="s">
        <v>161</v>
      </c>
      <c r="U28" s="27" t="s">
        <v>87</v>
      </c>
      <c r="V28" s="27" t="s">
        <v>60</v>
      </c>
      <c r="W28" s="27" t="s">
        <v>42</v>
      </c>
      <c r="X28" s="75">
        <v>11239.0</v>
      </c>
      <c r="Y28" s="76">
        <v>18286.55</v>
      </c>
      <c r="Z28" s="77">
        <v>45990.0</v>
      </c>
      <c r="AA28" s="77"/>
      <c r="AB28" s="77">
        <v>45980.0</v>
      </c>
      <c r="AC28" s="77">
        <v>45980.0</v>
      </c>
      <c r="AD28" s="77">
        <v>45980.0</v>
      </c>
      <c r="AE28" s="32" t="s">
        <v>107</v>
      </c>
    </row>
    <row r="29">
      <c r="A29" s="33" t="s">
        <v>192</v>
      </c>
      <c r="B29" s="69" t="s">
        <v>193</v>
      </c>
      <c r="C29" s="68" t="s">
        <v>194</v>
      </c>
      <c r="D29" s="69" t="s">
        <v>195</v>
      </c>
      <c r="E29" s="27" t="s">
        <v>77</v>
      </c>
      <c r="F29" s="37" t="s">
        <v>196</v>
      </c>
      <c r="G29" s="38">
        <v>2020.0</v>
      </c>
      <c r="H29" s="81">
        <v>44095.0</v>
      </c>
      <c r="I29" s="40" t="s">
        <v>197</v>
      </c>
      <c r="J29" s="82">
        <v>46286.0</v>
      </c>
      <c r="K29" s="27" t="s">
        <v>198</v>
      </c>
      <c r="L29" s="40" t="s">
        <v>197</v>
      </c>
      <c r="M29" s="70"/>
      <c r="N29" s="70">
        <v>221657.91</v>
      </c>
      <c r="O29" s="70">
        <v>111849.0</v>
      </c>
      <c r="P29" s="72" t="s">
        <v>56</v>
      </c>
      <c r="Q29" s="54" t="s">
        <v>57</v>
      </c>
      <c r="R29" s="24">
        <f t="shared" si="1"/>
        <v>278</v>
      </c>
      <c r="S29" s="43" t="s">
        <v>175</v>
      </c>
      <c r="T29" s="27" t="s">
        <v>161</v>
      </c>
      <c r="U29" s="27" t="s">
        <v>98</v>
      </c>
      <c r="V29" s="27" t="s">
        <v>60</v>
      </c>
      <c r="W29" s="27" t="s">
        <v>42</v>
      </c>
      <c r="X29" s="27">
        <v>356453.0</v>
      </c>
      <c r="Y29" s="55">
        <v>2409.25</v>
      </c>
      <c r="Z29" s="56">
        <v>45962.0</v>
      </c>
      <c r="AA29" s="56">
        <v>45962.0</v>
      </c>
      <c r="AB29" s="56">
        <v>45964.0</v>
      </c>
      <c r="AC29" s="56">
        <v>45964.0</v>
      </c>
      <c r="AD29" s="56">
        <v>45964.0</v>
      </c>
      <c r="AE29" s="32" t="s">
        <v>61</v>
      </c>
    </row>
    <row r="30">
      <c r="A30" s="33" t="s">
        <v>199</v>
      </c>
      <c r="B30" s="69" t="s">
        <v>193</v>
      </c>
      <c r="C30" s="68" t="s">
        <v>194</v>
      </c>
      <c r="D30" s="69" t="s">
        <v>195</v>
      </c>
      <c r="E30" s="27" t="s">
        <v>77</v>
      </c>
      <c r="F30" s="37" t="s">
        <v>196</v>
      </c>
      <c r="G30" s="38">
        <v>2020.0</v>
      </c>
      <c r="H30" s="81">
        <v>44095.0</v>
      </c>
      <c r="I30" s="40" t="s">
        <v>197</v>
      </c>
      <c r="J30" s="82">
        <v>46286.0</v>
      </c>
      <c r="K30" s="27" t="s">
        <v>200</v>
      </c>
      <c r="L30" s="40" t="s">
        <v>197</v>
      </c>
      <c r="M30" s="70">
        <v>1500.0</v>
      </c>
      <c r="N30" s="70">
        <v>63318.33</v>
      </c>
      <c r="O30" s="70">
        <v>36596.53</v>
      </c>
      <c r="P30" s="72" t="s">
        <v>56</v>
      </c>
      <c r="Q30" s="54" t="s">
        <v>57</v>
      </c>
      <c r="R30" s="24">
        <f t="shared" si="1"/>
        <v>278</v>
      </c>
      <c r="S30" s="43" t="s">
        <v>175</v>
      </c>
      <c r="T30" s="27" t="s">
        <v>161</v>
      </c>
      <c r="U30" s="27" t="s">
        <v>98</v>
      </c>
      <c r="V30" s="27" t="s">
        <v>60</v>
      </c>
      <c r="W30" s="27" t="s">
        <v>42</v>
      </c>
      <c r="X30" s="27">
        <v>356449.0</v>
      </c>
      <c r="Y30" s="55">
        <v>1663.67</v>
      </c>
      <c r="Z30" s="56">
        <v>45962.0</v>
      </c>
      <c r="AA30" s="56">
        <v>45962.0</v>
      </c>
      <c r="AB30" s="56">
        <v>45964.0</v>
      </c>
      <c r="AC30" s="56">
        <v>45964.0</v>
      </c>
      <c r="AD30" s="56">
        <v>45964.0</v>
      </c>
      <c r="AE30" s="32" t="s">
        <v>61</v>
      </c>
    </row>
    <row r="31">
      <c r="A31" s="33" t="s">
        <v>201</v>
      </c>
      <c r="B31" s="67" t="s">
        <v>171</v>
      </c>
      <c r="C31" s="68" t="s">
        <v>202</v>
      </c>
      <c r="D31" s="69" t="s">
        <v>203</v>
      </c>
      <c r="E31" s="27" t="s">
        <v>77</v>
      </c>
      <c r="F31" s="37" t="s">
        <v>144</v>
      </c>
      <c r="G31" s="38">
        <v>2024.0</v>
      </c>
      <c r="H31" s="56">
        <v>45558.0</v>
      </c>
      <c r="I31" s="40" t="s">
        <v>55</v>
      </c>
      <c r="J31" s="73">
        <v>46022.0</v>
      </c>
      <c r="K31" s="27" t="s">
        <v>55</v>
      </c>
      <c r="L31" s="27" t="s">
        <v>55</v>
      </c>
      <c r="M31" s="70">
        <v>10626.24</v>
      </c>
      <c r="N31" s="70">
        <f>M31*13</f>
        <v>138141.12</v>
      </c>
      <c r="O31" s="70">
        <v>52688.44</v>
      </c>
      <c r="P31" s="72" t="s">
        <v>56</v>
      </c>
      <c r="Q31" s="54" t="s">
        <v>80</v>
      </c>
      <c r="R31" s="24">
        <f t="shared" si="1"/>
        <v>14</v>
      </c>
      <c r="S31" s="43" t="s">
        <v>71</v>
      </c>
      <c r="T31" s="27" t="s">
        <v>204</v>
      </c>
      <c r="U31" s="27" t="s">
        <v>205</v>
      </c>
      <c r="V31" s="27" t="s">
        <v>41</v>
      </c>
      <c r="W31" s="27" t="s">
        <v>42</v>
      </c>
      <c r="X31" s="75">
        <v>2264.0</v>
      </c>
      <c r="Y31" s="76">
        <v>13292.2</v>
      </c>
      <c r="Z31" s="77">
        <v>45961.0</v>
      </c>
      <c r="AA31" s="77">
        <v>45961.0</v>
      </c>
      <c r="AB31" s="77">
        <v>45964.0</v>
      </c>
      <c r="AC31" s="77">
        <v>45965.0</v>
      </c>
      <c r="AD31" s="77">
        <v>45966.0</v>
      </c>
      <c r="AE31" s="32" t="s">
        <v>61</v>
      </c>
    </row>
    <row r="32">
      <c r="A32" s="33" t="s">
        <v>206</v>
      </c>
      <c r="B32" s="67" t="s">
        <v>207</v>
      </c>
      <c r="C32" s="68" t="s">
        <v>208</v>
      </c>
      <c r="D32" s="69" t="s">
        <v>209</v>
      </c>
      <c r="E32" s="27" t="s">
        <v>35</v>
      </c>
      <c r="F32" s="37" t="s">
        <v>210</v>
      </c>
      <c r="G32" s="38">
        <v>2024.0</v>
      </c>
      <c r="H32" s="41">
        <v>45608.0</v>
      </c>
      <c r="I32" s="40" t="s">
        <v>55</v>
      </c>
      <c r="J32" s="73">
        <v>46338.0</v>
      </c>
      <c r="K32" s="27" t="s">
        <v>55</v>
      </c>
      <c r="L32" s="27" t="s">
        <v>55</v>
      </c>
      <c r="M32" s="70">
        <f t="shared" ref="M32:M35" si="7">N32/12</f>
        <v>11028.23</v>
      </c>
      <c r="N32" s="70">
        <v>132338.76</v>
      </c>
      <c r="O32" s="70">
        <v>114698.8</v>
      </c>
      <c r="P32" s="72" t="s">
        <v>56</v>
      </c>
      <c r="Q32" s="54" t="s">
        <v>57</v>
      </c>
      <c r="R32" s="24">
        <f t="shared" si="1"/>
        <v>330</v>
      </c>
      <c r="S32" s="43" t="s">
        <v>71</v>
      </c>
      <c r="T32" s="27" t="s">
        <v>211</v>
      </c>
      <c r="U32" s="27" t="s">
        <v>87</v>
      </c>
      <c r="V32" s="27" t="s">
        <v>60</v>
      </c>
      <c r="W32" s="27" t="s">
        <v>72</v>
      </c>
      <c r="X32" s="27">
        <v>311.0</v>
      </c>
      <c r="Y32" s="55">
        <v>1249.08</v>
      </c>
      <c r="Z32" s="56">
        <v>45964.0</v>
      </c>
      <c r="AA32" s="56">
        <v>45964.0</v>
      </c>
      <c r="AB32" s="56">
        <v>45965.0</v>
      </c>
      <c r="AC32" s="56">
        <v>45968.0</v>
      </c>
      <c r="AD32" s="56">
        <v>45971.0</v>
      </c>
      <c r="AE32" s="32" t="s">
        <v>61</v>
      </c>
    </row>
    <row r="33">
      <c r="A33" s="33" t="s">
        <v>212</v>
      </c>
      <c r="B33" s="67" t="s">
        <v>207</v>
      </c>
      <c r="C33" s="68" t="s">
        <v>208</v>
      </c>
      <c r="D33" s="69" t="s">
        <v>209</v>
      </c>
      <c r="E33" s="27" t="s">
        <v>35</v>
      </c>
      <c r="F33" s="37" t="s">
        <v>210</v>
      </c>
      <c r="G33" s="38">
        <v>2024.0</v>
      </c>
      <c r="H33" s="41">
        <v>45608.0</v>
      </c>
      <c r="I33" s="40" t="s">
        <v>55</v>
      </c>
      <c r="J33" s="73">
        <v>46338.0</v>
      </c>
      <c r="K33" s="27" t="s">
        <v>55</v>
      </c>
      <c r="L33" s="27" t="s">
        <v>55</v>
      </c>
      <c r="M33" s="70">
        <f t="shared" si="7"/>
        <v>11028.23</v>
      </c>
      <c r="N33" s="70">
        <v>132338.76</v>
      </c>
      <c r="O33" s="70">
        <v>114698.8</v>
      </c>
      <c r="P33" s="72" t="s">
        <v>56</v>
      </c>
      <c r="Q33" s="54" t="s">
        <v>57</v>
      </c>
      <c r="R33" s="24">
        <f t="shared" si="1"/>
        <v>330</v>
      </c>
      <c r="S33" s="43" t="s">
        <v>71</v>
      </c>
      <c r="T33" s="27" t="s">
        <v>211</v>
      </c>
      <c r="U33" s="27" t="s">
        <v>138</v>
      </c>
      <c r="V33" s="27" t="s">
        <v>60</v>
      </c>
      <c r="W33" s="27" t="s">
        <v>72</v>
      </c>
      <c r="X33" s="27">
        <v>310.0</v>
      </c>
      <c r="Y33" s="55">
        <v>833.33</v>
      </c>
      <c r="Z33" s="56">
        <v>45964.0</v>
      </c>
      <c r="AA33" s="56">
        <v>45964.0</v>
      </c>
      <c r="AB33" s="56">
        <v>45965.0</v>
      </c>
      <c r="AC33" s="56">
        <v>45966.0</v>
      </c>
      <c r="AD33" s="56">
        <v>45966.0</v>
      </c>
      <c r="AE33" s="32" t="s">
        <v>61</v>
      </c>
    </row>
    <row r="34">
      <c r="A34" s="33" t="s">
        <v>213</v>
      </c>
      <c r="B34" s="67" t="s">
        <v>207</v>
      </c>
      <c r="C34" s="68" t="s">
        <v>208</v>
      </c>
      <c r="D34" s="69" t="s">
        <v>209</v>
      </c>
      <c r="E34" s="27" t="s">
        <v>35</v>
      </c>
      <c r="F34" s="37" t="s">
        <v>210</v>
      </c>
      <c r="G34" s="38">
        <v>2024.0</v>
      </c>
      <c r="H34" s="41">
        <v>45608.0</v>
      </c>
      <c r="I34" s="40" t="s">
        <v>55</v>
      </c>
      <c r="J34" s="73">
        <v>46338.0</v>
      </c>
      <c r="K34" s="83" t="s">
        <v>55</v>
      </c>
      <c r="L34" s="27" t="s">
        <v>55</v>
      </c>
      <c r="M34" s="84">
        <f t="shared" si="7"/>
        <v>11028.23</v>
      </c>
      <c r="N34" s="70">
        <v>132338.76</v>
      </c>
      <c r="O34" s="70">
        <v>114698.8</v>
      </c>
      <c r="P34" s="72" t="s">
        <v>56</v>
      </c>
      <c r="Q34" s="54" t="s">
        <v>57</v>
      </c>
      <c r="R34" s="24">
        <f t="shared" si="1"/>
        <v>330</v>
      </c>
      <c r="S34" s="43" t="s">
        <v>71</v>
      </c>
      <c r="T34" s="27" t="s">
        <v>211</v>
      </c>
      <c r="U34" s="27" t="s">
        <v>93</v>
      </c>
      <c r="V34" s="27" t="s">
        <v>60</v>
      </c>
      <c r="W34" s="27" t="s">
        <v>72</v>
      </c>
      <c r="X34" s="27">
        <v>309.0</v>
      </c>
      <c r="Y34" s="55">
        <v>833.33</v>
      </c>
      <c r="Z34" s="56">
        <v>45964.0</v>
      </c>
      <c r="AA34" s="56">
        <v>45964.0</v>
      </c>
      <c r="AB34" s="56">
        <v>45965.0</v>
      </c>
      <c r="AC34" s="56">
        <v>45972.0</v>
      </c>
      <c r="AD34" s="56">
        <v>45972.0</v>
      </c>
      <c r="AE34" s="32" t="s">
        <v>61</v>
      </c>
    </row>
    <row r="35">
      <c r="A35" s="33" t="s">
        <v>214</v>
      </c>
      <c r="B35" s="67" t="s">
        <v>207</v>
      </c>
      <c r="C35" s="68" t="s">
        <v>208</v>
      </c>
      <c r="D35" s="69" t="s">
        <v>209</v>
      </c>
      <c r="E35" s="27" t="s">
        <v>35</v>
      </c>
      <c r="F35" s="37" t="s">
        <v>210</v>
      </c>
      <c r="G35" s="38">
        <v>2024.0</v>
      </c>
      <c r="H35" s="41">
        <v>45608.0</v>
      </c>
      <c r="I35" s="40" t="s">
        <v>55</v>
      </c>
      <c r="J35" s="73">
        <v>46338.0</v>
      </c>
      <c r="K35" s="83" t="s">
        <v>55</v>
      </c>
      <c r="L35" s="27" t="s">
        <v>55</v>
      </c>
      <c r="M35" s="84">
        <f t="shared" si="7"/>
        <v>11028.23</v>
      </c>
      <c r="N35" s="70">
        <v>132338.76</v>
      </c>
      <c r="O35" s="70">
        <v>114698.8</v>
      </c>
      <c r="P35" s="72" t="s">
        <v>56</v>
      </c>
      <c r="Q35" s="54" t="s">
        <v>57</v>
      </c>
      <c r="R35" s="24">
        <f t="shared" si="1"/>
        <v>330</v>
      </c>
      <c r="S35" s="43" t="s">
        <v>71</v>
      </c>
      <c r="T35" s="27" t="s">
        <v>211</v>
      </c>
      <c r="U35" s="27" t="s">
        <v>98</v>
      </c>
      <c r="V35" s="27" t="s">
        <v>60</v>
      </c>
      <c r="W35" s="27" t="s">
        <v>72</v>
      </c>
      <c r="X35" s="27">
        <v>308.0</v>
      </c>
      <c r="Y35" s="55">
        <v>8112.48</v>
      </c>
      <c r="Z35" s="56">
        <v>45964.0</v>
      </c>
      <c r="AA35" s="56">
        <v>45964.0</v>
      </c>
      <c r="AB35" s="56">
        <v>45965.0</v>
      </c>
      <c r="AC35" s="56">
        <v>45965.0</v>
      </c>
      <c r="AD35" s="56">
        <v>45966.0</v>
      </c>
      <c r="AE35" s="32" t="s">
        <v>61</v>
      </c>
    </row>
    <row r="36">
      <c r="A36" s="33" t="s">
        <v>215</v>
      </c>
      <c r="B36" s="67" t="s">
        <v>216</v>
      </c>
      <c r="C36" s="68" t="s">
        <v>217</v>
      </c>
      <c r="D36" s="69" t="s">
        <v>218</v>
      </c>
      <c r="E36" s="27" t="s">
        <v>219</v>
      </c>
      <c r="F36" s="37" t="s">
        <v>220</v>
      </c>
      <c r="G36" s="38">
        <v>2020.0</v>
      </c>
      <c r="H36" s="56">
        <v>45637.0</v>
      </c>
      <c r="I36" s="40" t="s">
        <v>221</v>
      </c>
      <c r="J36" s="73">
        <v>45992.0</v>
      </c>
      <c r="K36" s="83" t="s">
        <v>55</v>
      </c>
      <c r="L36" s="27" t="s">
        <v>55</v>
      </c>
      <c r="M36" s="84">
        <v>19480.0</v>
      </c>
      <c r="N36" s="70">
        <f>M36*12</f>
        <v>233760</v>
      </c>
      <c r="O36" s="70">
        <v>182810.44</v>
      </c>
      <c r="P36" s="72" t="s">
        <v>56</v>
      </c>
      <c r="Q36" s="54" t="s">
        <v>57</v>
      </c>
      <c r="R36" s="24" t="str">
        <f t="shared" si="1"/>
        <v>ENCERRADO HÁ 16 DIAS</v>
      </c>
      <c r="S36" s="43" t="s">
        <v>175</v>
      </c>
      <c r="T36" s="27" t="s">
        <v>222</v>
      </c>
      <c r="U36" s="27" t="s">
        <v>223</v>
      </c>
      <c r="V36" s="27" t="s">
        <v>224</v>
      </c>
      <c r="W36" s="27" t="s">
        <v>42</v>
      </c>
      <c r="X36" s="75">
        <v>229.0</v>
      </c>
      <c r="Y36" s="76">
        <v>21126.45</v>
      </c>
      <c r="Z36" s="77">
        <v>45961.0</v>
      </c>
      <c r="AA36" s="77">
        <v>45961.0</v>
      </c>
      <c r="AB36" s="77">
        <v>45965.0</v>
      </c>
      <c r="AC36" s="77">
        <v>45970.0</v>
      </c>
      <c r="AD36" s="77">
        <v>45971.0</v>
      </c>
      <c r="AE36" s="32" t="s">
        <v>61</v>
      </c>
    </row>
    <row r="37">
      <c r="A37" s="33" t="s">
        <v>225</v>
      </c>
      <c r="B37" s="67" t="s">
        <v>187</v>
      </c>
      <c r="C37" s="68" t="s">
        <v>226</v>
      </c>
      <c r="D37" s="69" t="s">
        <v>189</v>
      </c>
      <c r="E37" s="85" t="s">
        <v>227</v>
      </c>
      <c r="F37" s="37" t="s">
        <v>228</v>
      </c>
      <c r="G37" s="38">
        <v>2024.0</v>
      </c>
      <c r="H37" s="41">
        <v>45596.0</v>
      </c>
      <c r="I37" s="40" t="s">
        <v>229</v>
      </c>
      <c r="J37" s="86">
        <v>45960.0</v>
      </c>
      <c r="K37" s="87" t="s">
        <v>55</v>
      </c>
      <c r="L37" s="27" t="s">
        <v>55</v>
      </c>
      <c r="M37" s="84">
        <v>182488.82</v>
      </c>
      <c r="N37" s="70">
        <v>2189865.79</v>
      </c>
      <c r="O37" s="70">
        <v>145735.8</v>
      </c>
      <c r="P37" s="72" t="s">
        <v>56</v>
      </c>
      <c r="Q37" s="54" t="s">
        <v>57</v>
      </c>
      <c r="R37" s="24" t="str">
        <f t="shared" si="1"/>
        <v>ENCERRADO HÁ 48 DIAS</v>
      </c>
      <c r="S37" s="43" t="s">
        <v>230</v>
      </c>
      <c r="T37" s="27" t="s">
        <v>41</v>
      </c>
      <c r="U37" s="27" t="s">
        <v>223</v>
      </c>
      <c r="V37" s="85" t="s">
        <v>41</v>
      </c>
      <c r="W37" s="27" t="s">
        <v>42</v>
      </c>
      <c r="X37" s="75">
        <v>11241.0</v>
      </c>
      <c r="Y37" s="76">
        <v>22159.48</v>
      </c>
      <c r="Z37" s="77">
        <v>45959.0</v>
      </c>
      <c r="AA37" s="77">
        <v>45959.0</v>
      </c>
      <c r="AB37" s="77">
        <v>45973.0</v>
      </c>
      <c r="AC37" s="77">
        <v>45973.0</v>
      </c>
      <c r="AD37" s="77">
        <v>45973.0</v>
      </c>
      <c r="AE37" s="32" t="s">
        <v>61</v>
      </c>
    </row>
    <row r="38">
      <c r="A38" s="88" t="s">
        <v>231</v>
      </c>
      <c r="B38" s="67" t="s">
        <v>232</v>
      </c>
      <c r="C38" s="89" t="s">
        <v>233</v>
      </c>
      <c r="D38" s="69" t="s">
        <v>234</v>
      </c>
      <c r="E38" s="90" t="s">
        <v>35</v>
      </c>
      <c r="F38" s="37" t="s">
        <v>126</v>
      </c>
      <c r="G38" s="38">
        <v>2024.0</v>
      </c>
      <c r="H38" s="41">
        <v>45536.0</v>
      </c>
      <c r="I38" s="40" t="s">
        <v>235</v>
      </c>
      <c r="J38" s="41">
        <v>45900.0</v>
      </c>
      <c r="K38" s="27" t="s">
        <v>55</v>
      </c>
      <c r="L38" s="27" t="s">
        <v>55</v>
      </c>
      <c r="M38" s="74">
        <v>5691.1</v>
      </c>
      <c r="N38" s="74">
        <v>136586.4</v>
      </c>
      <c r="O38" s="70">
        <v>28524.36</v>
      </c>
      <c r="P38" s="72" t="s">
        <v>56</v>
      </c>
      <c r="Q38" s="54" t="s">
        <v>57</v>
      </c>
      <c r="R38" s="24" t="str">
        <f t="shared" si="1"/>
        <v>ENCERRADO HÁ 108 DIAS</v>
      </c>
      <c r="S38" s="43" t="s">
        <v>175</v>
      </c>
      <c r="T38" s="27" t="s">
        <v>41</v>
      </c>
      <c r="U38" s="27" t="s">
        <v>138</v>
      </c>
      <c r="V38" s="90" t="s">
        <v>60</v>
      </c>
      <c r="W38" s="27" t="s">
        <v>42</v>
      </c>
      <c r="X38" s="75"/>
      <c r="Y38" s="76"/>
      <c r="Z38" s="77"/>
      <c r="AA38" s="77"/>
      <c r="AB38" s="77"/>
      <c r="AC38" s="77"/>
      <c r="AD38" s="77"/>
      <c r="AE38" s="32" t="s">
        <v>107</v>
      </c>
    </row>
    <row r="39">
      <c r="A39" s="33" t="s">
        <v>236</v>
      </c>
      <c r="B39" s="67" t="s">
        <v>237</v>
      </c>
      <c r="C39" s="68" t="s">
        <v>238</v>
      </c>
      <c r="D39" s="69" t="s">
        <v>239</v>
      </c>
      <c r="E39" s="27" t="s">
        <v>35</v>
      </c>
      <c r="F39" s="37" t="s">
        <v>45</v>
      </c>
      <c r="G39" s="38">
        <v>2019.0</v>
      </c>
      <c r="H39" s="56">
        <v>43815.0</v>
      </c>
      <c r="I39" s="40" t="s">
        <v>240</v>
      </c>
      <c r="J39" s="41">
        <v>46006.0</v>
      </c>
      <c r="K39" s="27" t="s">
        <v>55</v>
      </c>
      <c r="L39" s="27" t="s">
        <v>55</v>
      </c>
      <c r="M39" s="70">
        <v>5953.88</v>
      </c>
      <c r="N39" s="70">
        <f>M39*12</f>
        <v>71446.56</v>
      </c>
      <c r="O39" s="70">
        <v>14884.7</v>
      </c>
      <c r="P39" s="72" t="s">
        <v>56</v>
      </c>
      <c r="Q39" s="54" t="s">
        <v>80</v>
      </c>
      <c r="R39" s="24" t="str">
        <f t="shared" si="1"/>
        <v>ENCERRADO HÁ 2 DIAS</v>
      </c>
      <c r="S39" s="43" t="s">
        <v>241</v>
      </c>
      <c r="T39" s="27" t="s">
        <v>41</v>
      </c>
      <c r="U39" s="27" t="s">
        <v>138</v>
      </c>
      <c r="V39" s="90" t="s">
        <v>60</v>
      </c>
      <c r="W39" s="27" t="s">
        <v>42</v>
      </c>
      <c r="X39" s="75"/>
      <c r="Y39" s="76"/>
      <c r="Z39" s="77"/>
      <c r="AA39" s="77"/>
      <c r="AB39" s="77"/>
      <c r="AC39" s="77"/>
      <c r="AD39" s="77"/>
      <c r="AE39" s="32" t="s">
        <v>37</v>
      </c>
    </row>
    <row r="40">
      <c r="A40" s="33" t="s">
        <v>242</v>
      </c>
      <c r="B40" s="67" t="s">
        <v>243</v>
      </c>
      <c r="C40" s="91" t="s">
        <v>244</v>
      </c>
      <c r="D40" s="69" t="s">
        <v>245</v>
      </c>
      <c r="E40" s="27" t="s">
        <v>227</v>
      </c>
      <c r="F40" s="37" t="s">
        <v>246</v>
      </c>
      <c r="G40" s="38">
        <v>2024.0</v>
      </c>
      <c r="H40" s="56">
        <v>45596.0</v>
      </c>
      <c r="I40" s="40"/>
      <c r="J40" s="41">
        <v>46691.0</v>
      </c>
      <c r="K40" s="27"/>
      <c r="L40" s="27"/>
      <c r="M40" s="70"/>
      <c r="N40" s="70">
        <v>138902.04</v>
      </c>
      <c r="O40" s="70">
        <v>0.0</v>
      </c>
      <c r="P40" s="72" t="s">
        <v>56</v>
      </c>
      <c r="Q40" s="54" t="s">
        <v>57</v>
      </c>
      <c r="R40" s="24">
        <f t="shared" si="1"/>
        <v>683</v>
      </c>
      <c r="S40" s="43"/>
      <c r="T40" s="27" t="s">
        <v>247</v>
      </c>
      <c r="U40" s="27" t="s">
        <v>248</v>
      </c>
      <c r="V40" s="27" t="s">
        <v>161</v>
      </c>
      <c r="W40" s="27" t="s">
        <v>42</v>
      </c>
      <c r="X40" s="27"/>
      <c r="Y40" s="55"/>
      <c r="Z40" s="56"/>
      <c r="AA40" s="56"/>
      <c r="AB40" s="56"/>
      <c r="AC40" s="56"/>
      <c r="AD40" s="56"/>
      <c r="AE40" s="32"/>
    </row>
    <row r="41">
      <c r="A41" s="33" t="s">
        <v>249</v>
      </c>
      <c r="B41" s="67">
        <v>1.1457039000159E13</v>
      </c>
      <c r="C41" s="68" t="s">
        <v>250</v>
      </c>
      <c r="D41" s="69" t="s">
        <v>251</v>
      </c>
      <c r="E41" s="27" t="s">
        <v>35</v>
      </c>
      <c r="F41" s="37" t="s">
        <v>252</v>
      </c>
      <c r="G41" s="38">
        <v>2024.0</v>
      </c>
      <c r="H41" s="56">
        <v>45638.0</v>
      </c>
      <c r="I41" s="40" t="s">
        <v>55</v>
      </c>
      <c r="J41" s="41">
        <v>46003.0</v>
      </c>
      <c r="K41" s="27" t="s">
        <v>55</v>
      </c>
      <c r="L41" s="27" t="s">
        <v>55</v>
      </c>
      <c r="M41" s="70">
        <v>5508.89</v>
      </c>
      <c r="N41" s="70">
        <f>M41*12</f>
        <v>66106.68</v>
      </c>
      <c r="O41" s="70">
        <v>13404.97</v>
      </c>
      <c r="P41" s="72" t="s">
        <v>56</v>
      </c>
      <c r="Q41" s="54" t="s">
        <v>80</v>
      </c>
      <c r="R41" s="24" t="str">
        <f t="shared" si="1"/>
        <v>ENCERRADO HÁ 5 DIAS</v>
      </c>
      <c r="S41" s="43" t="s">
        <v>241</v>
      </c>
      <c r="T41" s="27" t="s">
        <v>161</v>
      </c>
      <c r="U41" s="27" t="s">
        <v>59</v>
      </c>
      <c r="V41" s="27" t="s">
        <v>60</v>
      </c>
      <c r="W41" s="27" t="s">
        <v>42</v>
      </c>
      <c r="X41" s="75">
        <v>9044.0</v>
      </c>
      <c r="Y41" s="76">
        <v>5508.89</v>
      </c>
      <c r="Z41" s="77">
        <v>45961.0</v>
      </c>
      <c r="AA41" s="77">
        <v>45961.0</v>
      </c>
      <c r="AB41" s="77">
        <v>45964.0</v>
      </c>
      <c r="AC41" s="77">
        <v>45965.0</v>
      </c>
      <c r="AD41" s="77">
        <v>45966.0</v>
      </c>
      <c r="AE41" s="32" t="s">
        <v>61</v>
      </c>
    </row>
    <row r="42">
      <c r="A42" s="33" t="s">
        <v>253</v>
      </c>
      <c r="B42" s="67" t="s">
        <v>254</v>
      </c>
      <c r="C42" s="68" t="s">
        <v>255</v>
      </c>
      <c r="D42" s="69" t="s">
        <v>251</v>
      </c>
      <c r="E42" s="27" t="s">
        <v>35</v>
      </c>
      <c r="F42" s="37" t="s">
        <v>256</v>
      </c>
      <c r="G42" s="38">
        <v>2024.0</v>
      </c>
      <c r="H42" s="56">
        <v>45643.0</v>
      </c>
      <c r="I42" s="40" t="s">
        <v>55</v>
      </c>
      <c r="J42" s="41">
        <v>46008.0</v>
      </c>
      <c r="K42" s="27" t="s">
        <v>55</v>
      </c>
      <c r="L42" s="27" t="s">
        <v>55</v>
      </c>
      <c r="M42" s="70"/>
      <c r="N42" s="70">
        <v>159864.48</v>
      </c>
      <c r="O42" s="70">
        <v>159864.48</v>
      </c>
      <c r="P42" s="72" t="s">
        <v>56</v>
      </c>
      <c r="Q42" s="54" t="s">
        <v>80</v>
      </c>
      <c r="R42" s="24">
        <f t="shared" si="1"/>
        <v>0</v>
      </c>
      <c r="S42" s="43" t="s">
        <v>241</v>
      </c>
      <c r="T42" s="27" t="s">
        <v>161</v>
      </c>
      <c r="U42" s="27" t="s">
        <v>59</v>
      </c>
      <c r="V42" s="27" t="s">
        <v>60</v>
      </c>
      <c r="W42" s="27" t="s">
        <v>42</v>
      </c>
      <c r="X42" s="75"/>
      <c r="Y42" s="76"/>
      <c r="Z42" s="77"/>
      <c r="AA42" s="77"/>
      <c r="AB42" s="77"/>
      <c r="AC42" s="77"/>
      <c r="AD42" s="77"/>
      <c r="AE42" s="32" t="s">
        <v>107</v>
      </c>
    </row>
    <row r="43">
      <c r="A43" s="33" t="s">
        <v>257</v>
      </c>
      <c r="B43" s="67" t="s">
        <v>258</v>
      </c>
      <c r="C43" s="68" t="s">
        <v>259</v>
      </c>
      <c r="D43" s="69" t="s">
        <v>260</v>
      </c>
      <c r="E43" s="27" t="s">
        <v>105</v>
      </c>
      <c r="F43" s="37" t="s">
        <v>159</v>
      </c>
      <c r="G43" s="38">
        <v>2024.0</v>
      </c>
      <c r="H43" s="56">
        <v>45644.0</v>
      </c>
      <c r="I43" s="40" t="s">
        <v>55</v>
      </c>
      <c r="J43" s="41">
        <v>46009.0</v>
      </c>
      <c r="K43" s="27"/>
      <c r="L43" s="27"/>
      <c r="M43" s="70"/>
      <c r="N43" s="70">
        <v>197240.6</v>
      </c>
      <c r="O43" s="70">
        <v>197240.6</v>
      </c>
      <c r="P43" s="72" t="s">
        <v>56</v>
      </c>
      <c r="Q43" s="54" t="s">
        <v>57</v>
      </c>
      <c r="R43" s="24">
        <f t="shared" si="1"/>
        <v>1</v>
      </c>
      <c r="S43" s="43" t="s">
        <v>71</v>
      </c>
      <c r="T43" s="27" t="s">
        <v>247</v>
      </c>
      <c r="U43" s="27" t="s">
        <v>261</v>
      </c>
      <c r="V43" s="27" t="s">
        <v>161</v>
      </c>
      <c r="W43" s="27" t="s">
        <v>72</v>
      </c>
      <c r="X43" s="27"/>
      <c r="Y43" s="55"/>
      <c r="Z43" s="56"/>
      <c r="AA43" s="56"/>
      <c r="AB43" s="56"/>
      <c r="AC43" s="56"/>
      <c r="AD43" s="56"/>
      <c r="AE43" s="32"/>
    </row>
    <row r="44">
      <c r="A44" s="33" t="s">
        <v>262</v>
      </c>
      <c r="B44" s="67" t="s">
        <v>263</v>
      </c>
      <c r="C44" s="68" t="s">
        <v>264</v>
      </c>
      <c r="D44" s="69" t="s">
        <v>265</v>
      </c>
      <c r="E44" s="27" t="s">
        <v>105</v>
      </c>
      <c r="F44" s="37" t="s">
        <v>266</v>
      </c>
      <c r="G44" s="38">
        <v>2024.0</v>
      </c>
      <c r="H44" s="41">
        <v>45644.0</v>
      </c>
      <c r="I44" s="40" t="s">
        <v>55</v>
      </c>
      <c r="J44" s="41">
        <v>46009.0</v>
      </c>
      <c r="K44" s="27"/>
      <c r="L44" s="27"/>
      <c r="M44" s="70"/>
      <c r="N44" s="70">
        <v>19901.0</v>
      </c>
      <c r="O44" s="70">
        <v>3951.0</v>
      </c>
      <c r="P44" s="72" t="s">
        <v>56</v>
      </c>
      <c r="Q44" s="54" t="s">
        <v>57</v>
      </c>
      <c r="R44" s="24">
        <f t="shared" si="1"/>
        <v>1</v>
      </c>
      <c r="S44" s="43" t="s">
        <v>71</v>
      </c>
      <c r="T44" s="27" t="s">
        <v>267</v>
      </c>
      <c r="U44" s="27" t="s">
        <v>100</v>
      </c>
      <c r="V44" s="27" t="s">
        <v>41</v>
      </c>
      <c r="W44" s="27" t="s">
        <v>72</v>
      </c>
      <c r="X44" s="27"/>
      <c r="Y44" s="55"/>
      <c r="Z44" s="56"/>
      <c r="AA44" s="56"/>
      <c r="AB44" s="56"/>
      <c r="AC44" s="56"/>
      <c r="AD44" s="56"/>
      <c r="AE44" s="32"/>
    </row>
    <row r="45">
      <c r="A45" s="33" t="s">
        <v>268</v>
      </c>
      <c r="B45" s="67" t="s">
        <v>269</v>
      </c>
      <c r="C45" s="68" t="s">
        <v>270</v>
      </c>
      <c r="D45" s="69" t="s">
        <v>271</v>
      </c>
      <c r="E45" s="27" t="s">
        <v>105</v>
      </c>
      <c r="F45" s="37" t="s">
        <v>272</v>
      </c>
      <c r="G45" s="38">
        <v>2024.0</v>
      </c>
      <c r="H45" s="56">
        <v>45645.0</v>
      </c>
      <c r="I45" s="40" t="s">
        <v>55</v>
      </c>
      <c r="J45" s="41">
        <v>46010.0</v>
      </c>
      <c r="K45" s="27"/>
      <c r="L45" s="27"/>
      <c r="M45" s="70">
        <v>3875.0</v>
      </c>
      <c r="N45" s="70">
        <v>46500.0</v>
      </c>
      <c r="O45" s="70">
        <v>46500.0</v>
      </c>
      <c r="P45" s="72" t="s">
        <v>56</v>
      </c>
      <c r="Q45" s="54" t="s">
        <v>57</v>
      </c>
      <c r="R45" s="24">
        <f t="shared" si="1"/>
        <v>2</v>
      </c>
      <c r="S45" s="43" t="s">
        <v>71</v>
      </c>
      <c r="T45" s="27" t="s">
        <v>273</v>
      </c>
      <c r="U45" s="27" t="s">
        <v>274</v>
      </c>
      <c r="V45" s="27" t="s">
        <v>161</v>
      </c>
      <c r="W45" s="27" t="s">
        <v>72</v>
      </c>
      <c r="X45" s="27"/>
      <c r="Y45" s="55"/>
      <c r="Z45" s="56"/>
      <c r="AA45" s="56"/>
      <c r="AB45" s="56"/>
      <c r="AC45" s="56"/>
      <c r="AD45" s="56"/>
      <c r="AE45" s="32"/>
    </row>
    <row r="46">
      <c r="A46" s="33" t="s">
        <v>275</v>
      </c>
      <c r="B46" s="69" t="s">
        <v>182</v>
      </c>
      <c r="C46" s="68" t="s">
        <v>276</v>
      </c>
      <c r="D46" s="69" t="s">
        <v>277</v>
      </c>
      <c r="E46" s="27" t="s">
        <v>52</v>
      </c>
      <c r="F46" s="37" t="s">
        <v>278</v>
      </c>
      <c r="G46" s="38">
        <v>2024.0</v>
      </c>
      <c r="H46" s="56">
        <v>45644.0</v>
      </c>
      <c r="I46" s="40" t="s">
        <v>55</v>
      </c>
      <c r="J46" s="41">
        <v>46009.0</v>
      </c>
      <c r="K46" s="27" t="s">
        <v>55</v>
      </c>
      <c r="L46" s="27" t="s">
        <v>55</v>
      </c>
      <c r="M46" s="70">
        <v>12487.87</v>
      </c>
      <c r="N46" s="70">
        <v>149854.4</v>
      </c>
      <c r="O46" s="70">
        <v>84043.46</v>
      </c>
      <c r="P46" s="92" t="s">
        <v>56</v>
      </c>
      <c r="Q46" s="54" t="s">
        <v>57</v>
      </c>
      <c r="R46" s="24">
        <f t="shared" si="1"/>
        <v>1</v>
      </c>
      <c r="S46" s="43" t="s">
        <v>71</v>
      </c>
      <c r="T46" s="27" t="s">
        <v>279</v>
      </c>
      <c r="U46" s="27" t="s">
        <v>273</v>
      </c>
      <c r="V46" s="27" t="s">
        <v>161</v>
      </c>
      <c r="W46" s="27" t="s">
        <v>72</v>
      </c>
      <c r="X46" s="27"/>
      <c r="Y46" s="55"/>
      <c r="Z46" s="56"/>
      <c r="AA46" s="56"/>
      <c r="AB46" s="56"/>
      <c r="AC46" s="56"/>
      <c r="AD46" s="56"/>
      <c r="AE46" s="32"/>
    </row>
    <row r="47">
      <c r="A47" s="33" t="s">
        <v>280</v>
      </c>
      <c r="B47" s="67" t="s">
        <v>281</v>
      </c>
      <c r="C47" s="68" t="s">
        <v>282</v>
      </c>
      <c r="D47" s="69" t="s">
        <v>283</v>
      </c>
      <c r="E47" s="27" t="s">
        <v>227</v>
      </c>
      <c r="F47" s="37" t="s">
        <v>284</v>
      </c>
      <c r="G47" s="38">
        <v>2025.0</v>
      </c>
      <c r="H47" s="56">
        <v>45660.0</v>
      </c>
      <c r="I47" s="40" t="s">
        <v>55</v>
      </c>
      <c r="J47" s="41">
        <v>46025.0</v>
      </c>
      <c r="K47" s="27"/>
      <c r="L47" s="27"/>
      <c r="M47" s="70">
        <v>3485.73</v>
      </c>
      <c r="N47" s="70">
        <v>41828.76</v>
      </c>
      <c r="O47" s="93">
        <v>16499.12</v>
      </c>
      <c r="P47" s="72" t="s">
        <v>56</v>
      </c>
      <c r="Q47" s="54" t="s">
        <v>80</v>
      </c>
      <c r="R47" s="24">
        <f t="shared" si="1"/>
        <v>17</v>
      </c>
      <c r="S47" s="43" t="s">
        <v>71</v>
      </c>
      <c r="T47" s="27" t="s">
        <v>161</v>
      </c>
      <c r="U47" s="27" t="s">
        <v>59</v>
      </c>
      <c r="V47" s="27" t="s">
        <v>60</v>
      </c>
      <c r="W47" s="27" t="s">
        <v>72</v>
      </c>
      <c r="X47" s="75"/>
      <c r="Y47" s="76"/>
      <c r="Z47" s="77"/>
      <c r="AA47" s="77"/>
      <c r="AB47" s="77"/>
      <c r="AC47" s="77"/>
      <c r="AD47" s="77"/>
      <c r="AE47" s="32" t="s">
        <v>107</v>
      </c>
    </row>
    <row r="48">
      <c r="A48" s="33" t="s">
        <v>285</v>
      </c>
      <c r="B48" s="67" t="s">
        <v>286</v>
      </c>
      <c r="C48" s="68" t="s">
        <v>287</v>
      </c>
      <c r="D48" s="69" t="s">
        <v>288</v>
      </c>
      <c r="E48" s="27" t="s">
        <v>52</v>
      </c>
      <c r="F48" s="37" t="s">
        <v>36</v>
      </c>
      <c r="G48" s="38">
        <v>2025.0</v>
      </c>
      <c r="H48" s="56">
        <v>45671.0</v>
      </c>
      <c r="I48" s="40"/>
      <c r="J48" s="41">
        <v>46036.0</v>
      </c>
      <c r="K48" s="27"/>
      <c r="L48" s="27"/>
      <c r="M48" s="70"/>
      <c r="N48" s="70">
        <v>100800.0</v>
      </c>
      <c r="O48" s="93">
        <v>100800.0</v>
      </c>
      <c r="P48" s="72" t="s">
        <v>56</v>
      </c>
      <c r="Q48" s="54" t="s">
        <v>57</v>
      </c>
      <c r="R48" s="24">
        <f t="shared" si="1"/>
        <v>28</v>
      </c>
      <c r="S48" s="43"/>
      <c r="T48" s="27" t="s">
        <v>289</v>
      </c>
      <c r="U48" s="27" t="s">
        <v>290</v>
      </c>
      <c r="V48" s="27" t="s">
        <v>161</v>
      </c>
      <c r="W48" s="27" t="s">
        <v>72</v>
      </c>
      <c r="X48" s="27"/>
      <c r="Y48" s="55"/>
      <c r="Z48" s="56"/>
      <c r="AA48" s="56"/>
      <c r="AB48" s="56"/>
      <c r="AC48" s="56"/>
      <c r="AD48" s="56"/>
      <c r="AE48" s="32"/>
    </row>
    <row r="49">
      <c r="A49" s="33" t="s">
        <v>291</v>
      </c>
      <c r="B49" s="67" t="s">
        <v>292</v>
      </c>
      <c r="C49" s="68" t="s">
        <v>293</v>
      </c>
      <c r="D49" s="69" t="s">
        <v>294</v>
      </c>
      <c r="E49" s="27" t="s">
        <v>52</v>
      </c>
      <c r="F49" s="37" t="s">
        <v>295</v>
      </c>
      <c r="G49" s="38">
        <v>2022.0</v>
      </c>
      <c r="H49" s="41">
        <v>45599.0</v>
      </c>
      <c r="I49" s="40" t="s">
        <v>92</v>
      </c>
      <c r="J49" s="41">
        <v>46329.0</v>
      </c>
      <c r="K49" s="27"/>
      <c r="L49" s="27" t="s">
        <v>92</v>
      </c>
      <c r="M49" s="70">
        <f>125300/12</f>
        <v>10441.66667</v>
      </c>
      <c r="N49" s="70">
        <v>391382.29</v>
      </c>
      <c r="O49" s="70">
        <v>375900.0</v>
      </c>
      <c r="P49" s="72" t="s">
        <v>56</v>
      </c>
      <c r="Q49" s="54" t="s">
        <v>57</v>
      </c>
      <c r="R49" s="24">
        <f t="shared" si="1"/>
        <v>321</v>
      </c>
      <c r="S49" s="43" t="s">
        <v>71</v>
      </c>
      <c r="T49" s="27" t="s">
        <v>289</v>
      </c>
      <c r="U49" s="27" t="s">
        <v>290</v>
      </c>
      <c r="V49" s="27" t="s">
        <v>161</v>
      </c>
      <c r="W49" s="27" t="s">
        <v>42</v>
      </c>
      <c r="X49" s="27"/>
      <c r="Y49" s="55"/>
      <c r="Z49" s="56"/>
      <c r="AA49" s="56"/>
      <c r="AB49" s="56"/>
      <c r="AC49" s="56"/>
      <c r="AD49" s="56"/>
      <c r="AE49" s="32"/>
    </row>
    <row r="50">
      <c r="A50" s="33" t="s">
        <v>296</v>
      </c>
      <c r="B50" s="67" t="s">
        <v>297</v>
      </c>
      <c r="C50" s="68" t="s">
        <v>298</v>
      </c>
      <c r="D50" s="69" t="s">
        <v>299</v>
      </c>
      <c r="E50" s="27" t="s">
        <v>52</v>
      </c>
      <c r="F50" s="37" t="s">
        <v>131</v>
      </c>
      <c r="G50" s="38">
        <v>2024.0</v>
      </c>
      <c r="H50" s="56">
        <v>45506.0</v>
      </c>
      <c r="I50" s="40" t="s">
        <v>54</v>
      </c>
      <c r="J50" s="41">
        <v>46236.0</v>
      </c>
      <c r="K50" s="27"/>
      <c r="L50" s="27"/>
      <c r="M50" s="70"/>
      <c r="N50" s="70">
        <v>344749.44</v>
      </c>
      <c r="O50" s="70">
        <v>344749.44</v>
      </c>
      <c r="P50" s="72" t="s">
        <v>56</v>
      </c>
      <c r="Q50" s="94" t="s">
        <v>57</v>
      </c>
      <c r="R50" s="24">
        <f t="shared" si="1"/>
        <v>228</v>
      </c>
      <c r="S50" s="43"/>
      <c r="T50" s="27" t="s">
        <v>289</v>
      </c>
      <c r="U50" s="27" t="s">
        <v>290</v>
      </c>
      <c r="V50" s="27" t="s">
        <v>161</v>
      </c>
      <c r="W50" s="27" t="s">
        <v>72</v>
      </c>
      <c r="X50" s="27"/>
      <c r="Y50" s="55"/>
      <c r="Z50" s="56"/>
      <c r="AA50" s="56"/>
      <c r="AB50" s="56"/>
      <c r="AC50" s="56"/>
      <c r="AD50" s="56"/>
      <c r="AE50" s="32"/>
    </row>
    <row r="51">
      <c r="A51" s="33" t="s">
        <v>300</v>
      </c>
      <c r="B51" s="67" t="s">
        <v>301</v>
      </c>
      <c r="C51" s="68" t="s">
        <v>302</v>
      </c>
      <c r="D51" s="69" t="s">
        <v>303</v>
      </c>
      <c r="E51" s="27" t="s">
        <v>52</v>
      </c>
      <c r="F51" s="37" t="s">
        <v>304</v>
      </c>
      <c r="G51" s="38">
        <v>2024.0</v>
      </c>
      <c r="H51" s="56">
        <v>45343.0</v>
      </c>
      <c r="I51" s="40"/>
      <c r="J51" s="73">
        <v>47170.0</v>
      </c>
      <c r="K51" s="27"/>
      <c r="L51" s="27"/>
      <c r="M51" s="70"/>
      <c r="N51" s="70">
        <v>48903.5</v>
      </c>
      <c r="O51" s="70">
        <v>19561.4</v>
      </c>
      <c r="P51" s="72" t="s">
        <v>56</v>
      </c>
      <c r="Q51" s="54" t="s">
        <v>57</v>
      </c>
      <c r="R51" s="24">
        <f t="shared" si="1"/>
        <v>1162</v>
      </c>
      <c r="S51" s="43"/>
      <c r="T51" s="27" t="s">
        <v>289</v>
      </c>
      <c r="U51" s="27" t="s">
        <v>305</v>
      </c>
      <c r="V51" s="27" t="s">
        <v>41</v>
      </c>
      <c r="W51" s="27" t="s">
        <v>72</v>
      </c>
      <c r="X51" s="27"/>
      <c r="Y51" s="55"/>
      <c r="Z51" s="56"/>
      <c r="AA51" s="56"/>
      <c r="AB51" s="56"/>
      <c r="AC51" s="56"/>
      <c r="AD51" s="56"/>
      <c r="AE51" s="32"/>
    </row>
    <row r="52">
      <c r="A52" s="33" t="s">
        <v>306</v>
      </c>
      <c r="B52" s="67" t="s">
        <v>307</v>
      </c>
      <c r="C52" s="68" t="s">
        <v>308</v>
      </c>
      <c r="D52" s="69" t="s">
        <v>309</v>
      </c>
      <c r="E52" s="27" t="s">
        <v>52</v>
      </c>
      <c r="F52" s="37" t="s">
        <v>168</v>
      </c>
      <c r="G52" s="38">
        <v>2021.0</v>
      </c>
      <c r="H52" s="56">
        <v>44530.0</v>
      </c>
      <c r="I52" s="40" t="s">
        <v>160</v>
      </c>
      <c r="J52" s="95">
        <v>45991.0</v>
      </c>
      <c r="K52" s="27"/>
      <c r="L52" s="96" t="s">
        <v>160</v>
      </c>
      <c r="M52" s="70">
        <v>35138.59</v>
      </c>
      <c r="N52" s="70">
        <v>2164974.24</v>
      </c>
      <c r="O52" s="70">
        <v>1139871.54</v>
      </c>
      <c r="P52" s="72" t="s">
        <v>56</v>
      </c>
      <c r="Q52" s="94" t="s">
        <v>57</v>
      </c>
      <c r="R52" s="24" t="str">
        <f t="shared" si="1"/>
        <v>ENCERRADO HÁ 17 DIAS</v>
      </c>
      <c r="S52" s="43" t="s">
        <v>175</v>
      </c>
      <c r="T52" s="27" t="s">
        <v>289</v>
      </c>
      <c r="U52" s="27" t="s">
        <v>290</v>
      </c>
      <c r="V52" s="27" t="s">
        <v>41</v>
      </c>
      <c r="W52" s="27" t="s">
        <v>42</v>
      </c>
      <c r="X52" s="27" t="s">
        <v>310</v>
      </c>
      <c r="Y52" s="55" t="s">
        <v>311</v>
      </c>
      <c r="Z52" s="56">
        <v>45957.0</v>
      </c>
      <c r="AA52" s="56">
        <v>45957.0</v>
      </c>
      <c r="AB52" s="56">
        <v>45959.0</v>
      </c>
      <c r="AC52" s="56">
        <v>45960.0</v>
      </c>
      <c r="AD52" s="56">
        <v>45961.0</v>
      </c>
      <c r="AE52" s="32" t="s">
        <v>61</v>
      </c>
    </row>
    <row r="53">
      <c r="A53" s="33" t="s">
        <v>312</v>
      </c>
      <c r="B53" s="67" t="s">
        <v>313</v>
      </c>
      <c r="C53" s="68" t="s">
        <v>314</v>
      </c>
      <c r="D53" s="69" t="s">
        <v>315</v>
      </c>
      <c r="E53" s="27" t="s">
        <v>105</v>
      </c>
      <c r="F53" s="37" t="s">
        <v>316</v>
      </c>
      <c r="G53" s="38">
        <v>2021.0</v>
      </c>
      <c r="H53" s="56">
        <v>44273.0</v>
      </c>
      <c r="I53" s="40" t="s">
        <v>55</v>
      </c>
      <c r="J53" s="41">
        <v>46098.0</v>
      </c>
      <c r="K53" s="27" t="s">
        <v>55</v>
      </c>
      <c r="L53" s="27" t="s">
        <v>55</v>
      </c>
      <c r="M53" s="70">
        <f>O53/(12*4)</f>
        <v>546.3141667</v>
      </c>
      <c r="N53" s="70">
        <v>60000.0</v>
      </c>
      <c r="O53" s="70">
        <v>26223.08</v>
      </c>
      <c r="P53" s="72" t="s">
        <v>56</v>
      </c>
      <c r="Q53" s="54" t="s">
        <v>57</v>
      </c>
      <c r="R53" s="24">
        <f t="shared" si="1"/>
        <v>90</v>
      </c>
      <c r="S53" s="43"/>
      <c r="T53" s="27" t="s">
        <v>41</v>
      </c>
      <c r="U53" s="27" t="s">
        <v>180</v>
      </c>
      <c r="V53" s="27" t="s">
        <v>60</v>
      </c>
      <c r="W53" s="27" t="s">
        <v>42</v>
      </c>
      <c r="X53" s="27"/>
      <c r="Y53" s="55"/>
      <c r="Z53" s="56"/>
      <c r="AA53" s="56"/>
      <c r="AB53" s="56"/>
      <c r="AC53" s="56"/>
      <c r="AD53" s="56"/>
      <c r="AE53" s="32" t="s">
        <v>61</v>
      </c>
    </row>
    <row r="54">
      <c r="A54" s="33" t="s">
        <v>317</v>
      </c>
      <c r="B54" s="69" t="s">
        <v>182</v>
      </c>
      <c r="C54" s="68" t="s">
        <v>318</v>
      </c>
      <c r="D54" s="69" t="s">
        <v>319</v>
      </c>
      <c r="E54" s="27" t="s">
        <v>52</v>
      </c>
      <c r="F54" s="37" t="s">
        <v>320</v>
      </c>
      <c r="G54" s="38">
        <v>2024.0</v>
      </c>
      <c r="H54" s="41">
        <v>45519.0</v>
      </c>
      <c r="I54" s="40" t="s">
        <v>54</v>
      </c>
      <c r="J54" s="41">
        <v>46248.0</v>
      </c>
      <c r="K54" s="27" t="s">
        <v>55</v>
      </c>
      <c r="L54" s="27"/>
      <c r="M54" s="70"/>
      <c r="N54" s="70">
        <v>167219.64</v>
      </c>
      <c r="O54" s="70">
        <v>79354.8</v>
      </c>
      <c r="P54" s="72" t="s">
        <v>56</v>
      </c>
      <c r="Q54" s="54" t="s">
        <v>57</v>
      </c>
      <c r="R54" s="24">
        <f t="shared" si="1"/>
        <v>240</v>
      </c>
      <c r="S54" s="43" t="s">
        <v>152</v>
      </c>
      <c r="T54" s="27" t="s">
        <v>321</v>
      </c>
      <c r="U54" s="27" t="s">
        <v>322</v>
      </c>
      <c r="V54" s="27" t="s">
        <v>161</v>
      </c>
      <c r="W54" s="27" t="s">
        <v>42</v>
      </c>
      <c r="X54" s="27"/>
      <c r="Y54" s="55"/>
      <c r="Z54" s="56"/>
      <c r="AA54" s="56"/>
      <c r="AB54" s="56"/>
      <c r="AC54" s="56"/>
      <c r="AD54" s="56"/>
      <c r="AE54" s="32"/>
    </row>
    <row r="55">
      <c r="A55" s="33" t="s">
        <v>323</v>
      </c>
      <c r="B55" s="69" t="s">
        <v>324</v>
      </c>
      <c r="C55" s="68" t="s">
        <v>325</v>
      </c>
      <c r="D55" s="69" t="s">
        <v>326</v>
      </c>
      <c r="E55" s="27" t="s">
        <v>52</v>
      </c>
      <c r="F55" s="37" t="s">
        <v>151</v>
      </c>
      <c r="G55" s="38">
        <v>2024.0</v>
      </c>
      <c r="H55" s="56">
        <v>45566.0</v>
      </c>
      <c r="I55" s="40" t="s">
        <v>79</v>
      </c>
      <c r="J55" s="41">
        <v>47392.0</v>
      </c>
      <c r="K55" s="27" t="s">
        <v>55</v>
      </c>
      <c r="L55" s="27" t="s">
        <v>55</v>
      </c>
      <c r="M55" s="70">
        <v>210159.59</v>
      </c>
      <c r="N55" s="70">
        <v>2521915.08</v>
      </c>
      <c r="O55" s="70">
        <v>1258039.14</v>
      </c>
      <c r="P55" s="72" t="s">
        <v>56</v>
      </c>
      <c r="Q55" s="54" t="s">
        <v>57</v>
      </c>
      <c r="R55" s="24">
        <f t="shared" si="1"/>
        <v>1384</v>
      </c>
      <c r="S55" s="78"/>
      <c r="T55" s="27" t="s">
        <v>161</v>
      </c>
      <c r="U55" s="27" t="s">
        <v>223</v>
      </c>
      <c r="V55" s="27" t="s">
        <v>60</v>
      </c>
      <c r="W55" s="27" t="s">
        <v>72</v>
      </c>
      <c r="X55" s="27" t="s">
        <v>327</v>
      </c>
      <c r="Y55" s="55" t="s">
        <v>328</v>
      </c>
      <c r="Z55" s="56">
        <v>45961.0</v>
      </c>
      <c r="AA55" s="56">
        <v>45961.0</v>
      </c>
      <c r="AB55" s="56">
        <v>45964.0</v>
      </c>
      <c r="AC55" s="56">
        <v>45964.0</v>
      </c>
      <c r="AD55" s="56">
        <v>45966.0</v>
      </c>
      <c r="AE55" s="33" t="s">
        <v>61</v>
      </c>
    </row>
    <row r="56">
      <c r="A56" s="33" t="s">
        <v>329</v>
      </c>
      <c r="B56" s="69" t="s">
        <v>324</v>
      </c>
      <c r="C56" s="68" t="s">
        <v>325</v>
      </c>
      <c r="D56" s="69" t="s">
        <v>326</v>
      </c>
      <c r="E56" s="27" t="s">
        <v>52</v>
      </c>
      <c r="F56" s="37" t="s">
        <v>151</v>
      </c>
      <c r="G56" s="38">
        <v>2024.0</v>
      </c>
      <c r="H56" s="56">
        <v>45566.0</v>
      </c>
      <c r="I56" s="40" t="s">
        <v>79</v>
      </c>
      <c r="J56" s="41">
        <v>47392.0</v>
      </c>
      <c r="K56" s="27" t="s">
        <v>55</v>
      </c>
      <c r="L56" s="27" t="s">
        <v>55</v>
      </c>
      <c r="M56" s="70">
        <v>210159.59</v>
      </c>
      <c r="N56" s="70">
        <v>2521915.08</v>
      </c>
      <c r="O56" s="70">
        <v>1258039.14</v>
      </c>
      <c r="P56" s="33" t="s">
        <v>56</v>
      </c>
      <c r="Q56" s="33" t="s">
        <v>57</v>
      </c>
      <c r="R56" s="24">
        <f t="shared" si="1"/>
        <v>1384</v>
      </c>
      <c r="S56" s="78"/>
      <c r="T56" s="27" t="s">
        <v>161</v>
      </c>
      <c r="U56" s="27" t="s">
        <v>223</v>
      </c>
      <c r="V56" s="27" t="s">
        <v>60</v>
      </c>
      <c r="W56" s="27" t="s">
        <v>72</v>
      </c>
      <c r="X56" s="27" t="s">
        <v>327</v>
      </c>
      <c r="Y56" s="55">
        <v>133333.33</v>
      </c>
      <c r="Z56" s="56">
        <v>45961.0</v>
      </c>
      <c r="AA56" s="56">
        <v>45961.0</v>
      </c>
      <c r="AB56" s="56">
        <v>45964.0</v>
      </c>
      <c r="AC56" s="56">
        <v>45964.0</v>
      </c>
      <c r="AD56" s="56">
        <v>45966.0</v>
      </c>
      <c r="AE56" s="33" t="s">
        <v>61</v>
      </c>
    </row>
    <row r="57">
      <c r="A57" s="33" t="s">
        <v>330</v>
      </c>
      <c r="B57" s="69" t="s">
        <v>331</v>
      </c>
      <c r="C57" s="68" t="s">
        <v>332</v>
      </c>
      <c r="D57" s="69" t="s">
        <v>333</v>
      </c>
      <c r="E57" s="27" t="s">
        <v>35</v>
      </c>
      <c r="F57" s="37" t="s">
        <v>334</v>
      </c>
      <c r="G57" s="38">
        <v>2024.0</v>
      </c>
      <c r="H57" s="41">
        <v>45488.0</v>
      </c>
      <c r="I57" s="40"/>
      <c r="J57" s="41">
        <v>45853.0</v>
      </c>
      <c r="K57" s="27" t="s">
        <v>55</v>
      </c>
      <c r="L57" s="27" t="s">
        <v>55</v>
      </c>
      <c r="M57" s="70">
        <f>N57/12</f>
        <v>35986.32833</v>
      </c>
      <c r="N57" s="70">
        <v>431835.94</v>
      </c>
      <c r="O57" s="70">
        <v>431835.94</v>
      </c>
      <c r="P57" s="72" t="s">
        <v>37</v>
      </c>
      <c r="Q57" s="54" t="s">
        <v>57</v>
      </c>
      <c r="R57" s="24" t="str">
        <f t="shared" si="1"/>
        <v>ENCERRADO HÁ 155 DIAS</v>
      </c>
      <c r="S57" s="43" t="s">
        <v>37</v>
      </c>
      <c r="T57" s="27" t="s">
        <v>58</v>
      </c>
      <c r="U57" s="27" t="s">
        <v>98</v>
      </c>
      <c r="V57" s="27" t="s">
        <v>161</v>
      </c>
      <c r="W57" s="27" t="s">
        <v>42</v>
      </c>
      <c r="X57" s="44"/>
      <c r="Y57" s="45"/>
      <c r="Z57" s="46"/>
      <c r="AA57" s="46"/>
      <c r="AB57" s="46"/>
      <c r="AC57" s="46"/>
      <c r="AD57" s="46"/>
      <c r="AE57" s="32" t="s">
        <v>37</v>
      </c>
    </row>
    <row r="58">
      <c r="A58" s="57" t="s">
        <v>335</v>
      </c>
      <c r="B58" s="97" t="s">
        <v>336</v>
      </c>
      <c r="C58" s="98" t="s">
        <v>337</v>
      </c>
      <c r="D58" s="99" t="s">
        <v>338</v>
      </c>
      <c r="E58" s="100" t="s">
        <v>35</v>
      </c>
      <c r="F58" s="37" t="s">
        <v>339</v>
      </c>
      <c r="G58" s="38">
        <v>2022.0</v>
      </c>
      <c r="H58" s="101">
        <v>44861.0</v>
      </c>
      <c r="I58" s="40" t="s">
        <v>54</v>
      </c>
      <c r="J58" s="101">
        <v>45957.0</v>
      </c>
      <c r="K58" s="100" t="s">
        <v>55</v>
      </c>
      <c r="L58" s="100" t="s">
        <v>340</v>
      </c>
      <c r="M58" s="102"/>
      <c r="N58" s="103">
        <v>142724.2</v>
      </c>
      <c r="O58" s="103">
        <v>142724.2</v>
      </c>
      <c r="P58" s="104" t="s">
        <v>37</v>
      </c>
      <c r="Q58" s="66" t="s">
        <v>57</v>
      </c>
      <c r="R58" s="24" t="str">
        <f t="shared" si="1"/>
        <v>ENCERRADO HÁ 51 DIAS</v>
      </c>
      <c r="S58" s="43" t="s">
        <v>230</v>
      </c>
      <c r="T58" s="27" t="s">
        <v>341</v>
      </c>
      <c r="U58" s="27" t="s">
        <v>342</v>
      </c>
      <c r="V58" s="100" t="s">
        <v>161</v>
      </c>
      <c r="W58" s="27" t="s">
        <v>42</v>
      </c>
      <c r="X58" s="36"/>
      <c r="Y58" s="105"/>
      <c r="Z58" s="106"/>
      <c r="AA58" s="106"/>
      <c r="AB58" s="106"/>
      <c r="AC58" s="106"/>
      <c r="AD58" s="106"/>
      <c r="AE58" s="32"/>
    </row>
    <row r="59">
      <c r="A59" s="57" t="s">
        <v>335</v>
      </c>
      <c r="B59" s="97" t="s">
        <v>336</v>
      </c>
      <c r="C59" s="98" t="s">
        <v>343</v>
      </c>
      <c r="D59" s="99" t="s">
        <v>338</v>
      </c>
      <c r="E59" s="100" t="s">
        <v>35</v>
      </c>
      <c r="F59" s="37" t="s">
        <v>344</v>
      </c>
      <c r="G59" s="38">
        <v>2022.0</v>
      </c>
      <c r="H59" s="101">
        <v>44874.0</v>
      </c>
      <c r="I59" s="107" t="s">
        <v>345</v>
      </c>
      <c r="J59" s="101">
        <v>45970.0</v>
      </c>
      <c r="K59" s="100" t="s">
        <v>55</v>
      </c>
      <c r="L59" s="100" t="s">
        <v>55</v>
      </c>
      <c r="M59" s="102"/>
      <c r="N59" s="103">
        <v>19996.2</v>
      </c>
      <c r="O59" s="103">
        <v>19996.2</v>
      </c>
      <c r="P59" s="104" t="s">
        <v>37</v>
      </c>
      <c r="Q59" s="66" t="s">
        <v>57</v>
      </c>
      <c r="R59" s="24" t="str">
        <f t="shared" si="1"/>
        <v>ENCERRADO HÁ 38 DIAS</v>
      </c>
      <c r="S59" s="43" t="s">
        <v>71</v>
      </c>
      <c r="T59" s="27" t="s">
        <v>341</v>
      </c>
      <c r="U59" s="27" t="s">
        <v>342</v>
      </c>
      <c r="V59" s="100" t="s">
        <v>161</v>
      </c>
      <c r="W59" s="27" t="s">
        <v>42</v>
      </c>
      <c r="X59" s="36"/>
      <c r="Y59" s="105"/>
      <c r="Z59" s="106"/>
      <c r="AA59" s="106"/>
      <c r="AB59" s="106"/>
      <c r="AC59" s="106"/>
      <c r="AD59" s="106"/>
      <c r="AE59" s="32"/>
    </row>
    <row r="60">
      <c r="A60" s="57" t="s">
        <v>346</v>
      </c>
      <c r="B60" s="97" t="s">
        <v>347</v>
      </c>
      <c r="C60" s="98" t="s">
        <v>348</v>
      </c>
      <c r="D60" s="99" t="s">
        <v>349</v>
      </c>
      <c r="E60" s="100" t="s">
        <v>35</v>
      </c>
      <c r="F60" s="108" t="s">
        <v>350</v>
      </c>
      <c r="G60" s="38">
        <v>2019.0</v>
      </c>
      <c r="H60" s="109">
        <v>45627.0</v>
      </c>
      <c r="I60" s="110" t="s">
        <v>351</v>
      </c>
      <c r="J60" s="101">
        <v>45991.0</v>
      </c>
      <c r="K60" s="100" t="s">
        <v>79</v>
      </c>
      <c r="L60" s="100" t="s">
        <v>55</v>
      </c>
      <c r="M60" s="103">
        <v>489.23</v>
      </c>
      <c r="N60" s="103">
        <v>5870.8</v>
      </c>
      <c r="O60" s="103">
        <v>2242.33</v>
      </c>
      <c r="P60" s="104" t="s">
        <v>56</v>
      </c>
      <c r="Q60" s="66" t="s">
        <v>57</v>
      </c>
      <c r="R60" s="24" t="str">
        <f t="shared" si="1"/>
        <v>ENCERRADO HÁ 17 DIAS</v>
      </c>
      <c r="S60" s="43" t="s">
        <v>175</v>
      </c>
      <c r="T60" s="27" t="s">
        <v>352</v>
      </c>
      <c r="U60" s="27" t="s">
        <v>342</v>
      </c>
      <c r="V60" s="100" t="s">
        <v>41</v>
      </c>
      <c r="W60" s="27" t="s">
        <v>42</v>
      </c>
      <c r="X60" s="36"/>
      <c r="Y60" s="105"/>
      <c r="Z60" s="106"/>
      <c r="AA60" s="106"/>
      <c r="AB60" s="106"/>
      <c r="AC60" s="106"/>
      <c r="AD60" s="106"/>
      <c r="AE60" s="32"/>
    </row>
    <row r="61">
      <c r="A61" s="57" t="s">
        <v>346</v>
      </c>
      <c r="B61" s="97" t="s">
        <v>347</v>
      </c>
      <c r="C61" s="98" t="s">
        <v>348</v>
      </c>
      <c r="D61" s="99" t="s">
        <v>353</v>
      </c>
      <c r="E61" s="100" t="s">
        <v>35</v>
      </c>
      <c r="F61" s="108" t="s">
        <v>350</v>
      </c>
      <c r="G61" s="38">
        <v>2020.0</v>
      </c>
      <c r="H61" s="109">
        <v>45778.0</v>
      </c>
      <c r="I61" s="100" t="s">
        <v>354</v>
      </c>
      <c r="J61" s="101">
        <v>46142.0</v>
      </c>
      <c r="K61" s="100"/>
      <c r="L61" s="100" t="s">
        <v>55</v>
      </c>
      <c r="M61" s="102">
        <v>12217.49</v>
      </c>
      <c r="N61" s="102">
        <v>146609.88</v>
      </c>
      <c r="O61" s="102">
        <v>363774.38</v>
      </c>
      <c r="P61" s="104" t="s">
        <v>56</v>
      </c>
      <c r="Q61" s="66" t="s">
        <v>57</v>
      </c>
      <c r="R61" s="24">
        <f t="shared" si="1"/>
        <v>134</v>
      </c>
      <c r="S61" s="43"/>
      <c r="T61" s="27" t="s">
        <v>352</v>
      </c>
      <c r="U61" s="27" t="s">
        <v>342</v>
      </c>
      <c r="V61" s="100" t="s">
        <v>41</v>
      </c>
      <c r="W61" s="27" t="s">
        <v>42</v>
      </c>
      <c r="X61" s="36"/>
      <c r="Y61" s="105"/>
      <c r="Z61" s="106"/>
      <c r="AA61" s="106"/>
      <c r="AB61" s="106"/>
      <c r="AC61" s="106"/>
      <c r="AD61" s="106"/>
      <c r="AE61" s="32"/>
    </row>
    <row r="62">
      <c r="A62" s="57" t="s">
        <v>355</v>
      </c>
      <c r="B62" s="97" t="s">
        <v>356</v>
      </c>
      <c r="C62" s="98" t="s">
        <v>348</v>
      </c>
      <c r="D62" s="99" t="s">
        <v>353</v>
      </c>
      <c r="E62" s="100" t="s">
        <v>35</v>
      </c>
      <c r="F62" s="108" t="s">
        <v>357</v>
      </c>
      <c r="G62" s="38">
        <v>2019.0</v>
      </c>
      <c r="H62" s="109">
        <v>45627.0</v>
      </c>
      <c r="I62" s="110" t="s">
        <v>358</v>
      </c>
      <c r="J62" s="101">
        <v>45991.0</v>
      </c>
      <c r="K62" s="100" t="s">
        <v>79</v>
      </c>
      <c r="L62" s="100" t="s">
        <v>55</v>
      </c>
      <c r="M62" s="102">
        <v>1982.08</v>
      </c>
      <c r="N62" s="102">
        <v>23980.42</v>
      </c>
      <c r="O62" s="102">
        <v>103786.87</v>
      </c>
      <c r="P62" s="104" t="s">
        <v>56</v>
      </c>
      <c r="Q62" s="66" t="s">
        <v>57</v>
      </c>
      <c r="R62" s="24" t="str">
        <f t="shared" si="1"/>
        <v>ENCERRADO HÁ 17 DIAS</v>
      </c>
      <c r="S62" s="43" t="s">
        <v>175</v>
      </c>
      <c r="T62" s="100" t="s">
        <v>58</v>
      </c>
      <c r="U62" s="27" t="s">
        <v>359</v>
      </c>
      <c r="V62" s="100" t="s">
        <v>60</v>
      </c>
      <c r="W62" s="27" t="s">
        <v>42</v>
      </c>
      <c r="X62" s="36"/>
      <c r="Y62" s="105"/>
      <c r="Z62" s="106"/>
      <c r="AA62" s="106"/>
      <c r="AB62" s="106"/>
      <c r="AC62" s="106"/>
      <c r="AD62" s="106"/>
      <c r="AE62" s="32"/>
    </row>
    <row r="63">
      <c r="A63" s="33" t="s">
        <v>360</v>
      </c>
      <c r="B63" s="69" t="s">
        <v>361</v>
      </c>
      <c r="C63" s="68" t="s">
        <v>362</v>
      </c>
      <c r="D63" s="69" t="s">
        <v>363</v>
      </c>
      <c r="E63" s="27" t="s">
        <v>364</v>
      </c>
      <c r="F63" s="37" t="s">
        <v>320</v>
      </c>
      <c r="G63" s="38">
        <v>2023.0</v>
      </c>
      <c r="H63" s="41">
        <v>45274.0</v>
      </c>
      <c r="I63" s="40" t="s">
        <v>54</v>
      </c>
      <c r="J63" s="41">
        <v>46245.0</v>
      </c>
      <c r="K63" s="111"/>
      <c r="L63" s="40" t="s">
        <v>79</v>
      </c>
      <c r="M63" s="70">
        <v>3565.68</v>
      </c>
      <c r="N63" s="70">
        <v>42788.16</v>
      </c>
      <c r="O63" s="70">
        <v>64098.27</v>
      </c>
      <c r="P63" s="72" t="s">
        <v>56</v>
      </c>
      <c r="Q63" s="54" t="s">
        <v>57</v>
      </c>
      <c r="R63" s="24">
        <f t="shared" si="1"/>
        <v>237</v>
      </c>
      <c r="S63" s="43" t="s">
        <v>365</v>
      </c>
      <c r="T63" s="27" t="s">
        <v>247</v>
      </c>
      <c r="U63" s="27" t="s">
        <v>248</v>
      </c>
      <c r="V63" s="27" t="s">
        <v>161</v>
      </c>
      <c r="W63" s="27" t="s">
        <v>42</v>
      </c>
      <c r="X63" s="36"/>
      <c r="Y63" s="105"/>
      <c r="Z63" s="106"/>
      <c r="AA63" s="106"/>
      <c r="AB63" s="106"/>
      <c r="AC63" s="106"/>
      <c r="AD63" s="106"/>
      <c r="AE63" s="32"/>
    </row>
    <row r="64">
      <c r="A64" s="33" t="s">
        <v>366</v>
      </c>
      <c r="B64" s="67" t="s">
        <v>367</v>
      </c>
      <c r="C64" s="68" t="s">
        <v>368</v>
      </c>
      <c r="D64" s="69" t="s">
        <v>369</v>
      </c>
      <c r="E64" s="27" t="s">
        <v>52</v>
      </c>
      <c r="F64" s="37" t="s">
        <v>91</v>
      </c>
      <c r="G64" s="38">
        <v>2024.0</v>
      </c>
      <c r="H64" s="56">
        <v>45496.0</v>
      </c>
      <c r="I64" s="40" t="s">
        <v>54</v>
      </c>
      <c r="J64" s="41">
        <v>46226.0</v>
      </c>
      <c r="K64" s="27"/>
      <c r="L64" s="27"/>
      <c r="M64" s="70"/>
      <c r="N64" s="70">
        <v>290000.0</v>
      </c>
      <c r="O64" s="70">
        <v>290000.0</v>
      </c>
      <c r="P64" s="72" t="s">
        <v>56</v>
      </c>
      <c r="Q64" s="54" t="s">
        <v>57</v>
      </c>
      <c r="R64" s="24">
        <f t="shared" si="1"/>
        <v>218</v>
      </c>
      <c r="S64" s="43"/>
      <c r="T64" s="27" t="s">
        <v>370</v>
      </c>
      <c r="U64" s="27" t="s">
        <v>371</v>
      </c>
      <c r="V64" s="27" t="s">
        <v>41</v>
      </c>
      <c r="W64" s="27" t="s">
        <v>72</v>
      </c>
      <c r="X64" s="36"/>
      <c r="Y64" s="105"/>
      <c r="Z64" s="106"/>
      <c r="AA64" s="106"/>
      <c r="AB64" s="106"/>
      <c r="AC64" s="106"/>
      <c r="AD64" s="106"/>
      <c r="AE64" s="32"/>
    </row>
    <row r="65">
      <c r="A65" s="112" t="s">
        <v>372</v>
      </c>
      <c r="B65" s="113" t="s">
        <v>373</v>
      </c>
      <c r="C65" s="114" t="s">
        <v>374</v>
      </c>
      <c r="D65" s="115" t="s">
        <v>375</v>
      </c>
      <c r="E65" s="116" t="s">
        <v>376</v>
      </c>
      <c r="F65" s="117" t="s">
        <v>377</v>
      </c>
      <c r="G65" s="118">
        <v>2025.0</v>
      </c>
      <c r="H65" s="119">
        <v>45762.0</v>
      </c>
      <c r="I65" s="120" t="s">
        <v>55</v>
      </c>
      <c r="J65" s="119">
        <v>45819.0</v>
      </c>
      <c r="K65" s="116"/>
      <c r="L65" s="116"/>
      <c r="M65" s="121">
        <v>19861.5</v>
      </c>
      <c r="N65" s="121">
        <v>59584.5</v>
      </c>
      <c r="O65" s="121">
        <v>49653.75</v>
      </c>
      <c r="P65" s="122" t="s">
        <v>37</v>
      </c>
      <c r="Q65" s="123" t="s">
        <v>57</v>
      </c>
      <c r="R65" s="24" t="str">
        <f t="shared" si="1"/>
        <v>ENCERRADO HÁ 189 DIAS</v>
      </c>
      <c r="S65" s="43" t="s">
        <v>37</v>
      </c>
      <c r="T65" s="27" t="s">
        <v>161</v>
      </c>
      <c r="U65" s="27" t="s">
        <v>98</v>
      </c>
      <c r="V65" s="27" t="s">
        <v>60</v>
      </c>
      <c r="W65" s="27" t="s">
        <v>72</v>
      </c>
      <c r="X65" s="44"/>
      <c r="Y65" s="45"/>
      <c r="Z65" s="46"/>
      <c r="AA65" s="46"/>
      <c r="AB65" s="46"/>
      <c r="AC65" s="46"/>
      <c r="AD65" s="46"/>
      <c r="AE65" s="32" t="s">
        <v>37</v>
      </c>
    </row>
    <row r="66">
      <c r="A66" s="33" t="s">
        <v>378</v>
      </c>
      <c r="B66" s="69" t="s">
        <v>379</v>
      </c>
      <c r="C66" s="68" t="s">
        <v>380</v>
      </c>
      <c r="D66" s="69" t="s">
        <v>381</v>
      </c>
      <c r="E66" s="27" t="s">
        <v>364</v>
      </c>
      <c r="F66" s="37" t="s">
        <v>78</v>
      </c>
      <c r="G66" s="38">
        <v>2025.0</v>
      </c>
      <c r="H66" s="56">
        <v>45796.0</v>
      </c>
      <c r="I66" s="40"/>
      <c r="J66" s="41">
        <v>46161.0</v>
      </c>
      <c r="K66" s="27"/>
      <c r="L66" s="27"/>
      <c r="M66" s="70"/>
      <c r="N66" s="70">
        <v>12810.0</v>
      </c>
      <c r="O66" s="70">
        <v>12810.0</v>
      </c>
      <c r="P66" s="72" t="s">
        <v>56</v>
      </c>
      <c r="Q66" s="54" t="s">
        <v>57</v>
      </c>
      <c r="R66" s="24">
        <f t="shared" si="1"/>
        <v>153</v>
      </c>
      <c r="S66" s="78"/>
      <c r="T66" s="100" t="s">
        <v>382</v>
      </c>
      <c r="U66" s="27" t="s">
        <v>383</v>
      </c>
      <c r="V66" s="100" t="s">
        <v>41</v>
      </c>
      <c r="W66" s="27" t="s">
        <v>72</v>
      </c>
      <c r="X66" s="27"/>
      <c r="Y66" s="55"/>
      <c r="Z66" s="56"/>
      <c r="AA66" s="56"/>
      <c r="AB66" s="56"/>
      <c r="AC66" s="56"/>
      <c r="AD66" s="56"/>
      <c r="AE66" s="33" t="s">
        <v>384</v>
      </c>
    </row>
    <row r="67">
      <c r="A67" s="112" t="s">
        <v>385</v>
      </c>
      <c r="B67" s="113" t="s">
        <v>386</v>
      </c>
      <c r="C67" s="114" t="s">
        <v>387</v>
      </c>
      <c r="D67" s="115" t="s">
        <v>388</v>
      </c>
      <c r="E67" s="116" t="s">
        <v>35</v>
      </c>
      <c r="F67" s="117" t="s">
        <v>196</v>
      </c>
      <c r="G67" s="118">
        <v>2025.0</v>
      </c>
      <c r="H67" s="119">
        <v>45672.0</v>
      </c>
      <c r="I67" s="120"/>
      <c r="J67" s="119">
        <f t="shared" ref="J67:J68" si="8">H67+210</f>
        <v>45882</v>
      </c>
      <c r="K67" s="116"/>
      <c r="L67" s="116"/>
      <c r="M67" s="121"/>
      <c r="N67" s="121">
        <v>9393738.3</v>
      </c>
      <c r="O67" s="121">
        <v>9393738.3</v>
      </c>
      <c r="P67" s="122" t="s">
        <v>56</v>
      </c>
      <c r="Q67" s="123" t="s">
        <v>38</v>
      </c>
      <c r="R67" s="24" t="str">
        <f t="shared" si="1"/>
        <v>ENCERRADO HÁ 126 DIAS</v>
      </c>
      <c r="S67" s="43" t="s">
        <v>230</v>
      </c>
      <c r="T67" s="27" t="s">
        <v>389</v>
      </c>
      <c r="U67" s="27" t="s">
        <v>39</v>
      </c>
      <c r="V67" s="100" t="s">
        <v>41</v>
      </c>
      <c r="W67" s="27" t="s">
        <v>72</v>
      </c>
      <c r="X67" s="44"/>
      <c r="Y67" s="45"/>
      <c r="Z67" s="46"/>
      <c r="AA67" s="46"/>
      <c r="AB67" s="46"/>
      <c r="AC67" s="46"/>
      <c r="AD67" s="46"/>
      <c r="AE67" s="33" t="s">
        <v>37</v>
      </c>
    </row>
    <row r="68">
      <c r="A68" s="112" t="s">
        <v>390</v>
      </c>
      <c r="B68" s="113" t="s">
        <v>386</v>
      </c>
      <c r="C68" s="114" t="s">
        <v>387</v>
      </c>
      <c r="D68" s="115" t="s">
        <v>388</v>
      </c>
      <c r="E68" s="116" t="s">
        <v>35</v>
      </c>
      <c r="F68" s="117" t="s">
        <v>196</v>
      </c>
      <c r="G68" s="118">
        <v>2025.0</v>
      </c>
      <c r="H68" s="119">
        <v>45672.0</v>
      </c>
      <c r="I68" s="120"/>
      <c r="J68" s="119">
        <f t="shared" si="8"/>
        <v>45882</v>
      </c>
      <c r="K68" s="116"/>
      <c r="L68" s="116"/>
      <c r="M68" s="121"/>
      <c r="N68" s="121">
        <v>9393738.3</v>
      </c>
      <c r="O68" s="121">
        <v>9393738.3</v>
      </c>
      <c r="P68" s="122" t="s">
        <v>56</v>
      </c>
      <c r="Q68" s="123" t="s">
        <v>38</v>
      </c>
      <c r="R68" s="24" t="str">
        <f t="shared" si="1"/>
        <v>ENCERRADO HÁ 126 DIAS</v>
      </c>
      <c r="S68" s="43" t="s">
        <v>230</v>
      </c>
      <c r="T68" s="27" t="s">
        <v>389</v>
      </c>
      <c r="U68" s="27" t="s">
        <v>39</v>
      </c>
      <c r="V68" s="100" t="s">
        <v>41</v>
      </c>
      <c r="W68" s="27" t="s">
        <v>72</v>
      </c>
      <c r="X68" s="44"/>
      <c r="Y68" s="45"/>
      <c r="Z68" s="46"/>
      <c r="AA68" s="46"/>
      <c r="AB68" s="46"/>
      <c r="AC68" s="46"/>
      <c r="AD68" s="46"/>
      <c r="AE68" s="33" t="s">
        <v>37</v>
      </c>
    </row>
    <row r="69">
      <c r="A69" s="33" t="s">
        <v>391</v>
      </c>
      <c r="B69" s="69" t="s">
        <v>392</v>
      </c>
      <c r="C69" s="68" t="s">
        <v>393</v>
      </c>
      <c r="D69" s="69" t="s">
        <v>394</v>
      </c>
      <c r="E69" s="27" t="s">
        <v>35</v>
      </c>
      <c r="F69" s="37" t="s">
        <v>334</v>
      </c>
      <c r="G69" s="38">
        <v>2023.0</v>
      </c>
      <c r="H69" s="41">
        <v>45584.0</v>
      </c>
      <c r="I69" s="40" t="s">
        <v>92</v>
      </c>
      <c r="J69" s="41">
        <v>46313.0</v>
      </c>
      <c r="K69" s="27"/>
      <c r="L69" s="27" t="s">
        <v>197</v>
      </c>
      <c r="M69" s="70">
        <v>12900.81</v>
      </c>
      <c r="N69" s="70">
        <v>281181.96</v>
      </c>
      <c r="O69" s="70">
        <v>204427.21</v>
      </c>
      <c r="P69" s="72" t="s">
        <v>56</v>
      </c>
      <c r="Q69" s="54" t="s">
        <v>80</v>
      </c>
      <c r="R69" s="24">
        <f t="shared" si="1"/>
        <v>305</v>
      </c>
      <c r="S69" s="43" t="s">
        <v>71</v>
      </c>
      <c r="T69" s="27" t="s">
        <v>279</v>
      </c>
      <c r="U69" s="27" t="s">
        <v>395</v>
      </c>
      <c r="V69" s="27" t="s">
        <v>161</v>
      </c>
      <c r="W69" s="27" t="s">
        <v>42</v>
      </c>
      <c r="X69" s="75"/>
      <c r="Y69" s="76"/>
      <c r="Z69" s="77"/>
      <c r="AA69" s="77"/>
      <c r="AB69" s="77"/>
      <c r="AC69" s="77"/>
      <c r="AD69" s="77"/>
      <c r="AE69" s="33"/>
    </row>
    <row r="70">
      <c r="A70" s="33" t="s">
        <v>396</v>
      </c>
      <c r="B70" s="69" t="s">
        <v>397</v>
      </c>
      <c r="C70" s="68" t="s">
        <v>398</v>
      </c>
      <c r="D70" s="69" t="s">
        <v>399</v>
      </c>
      <c r="E70" s="27" t="s">
        <v>35</v>
      </c>
      <c r="F70" s="37" t="s">
        <v>45</v>
      </c>
      <c r="G70" s="38">
        <v>2025.0</v>
      </c>
      <c r="H70" s="41">
        <v>45671.0</v>
      </c>
      <c r="I70" s="40"/>
      <c r="J70" s="41">
        <v>45944.0</v>
      </c>
      <c r="K70" s="27"/>
      <c r="L70" s="27"/>
      <c r="M70" s="70"/>
      <c r="N70" s="70">
        <v>54900.0</v>
      </c>
      <c r="O70" s="70">
        <v>54900.0</v>
      </c>
      <c r="P70" s="72" t="s">
        <v>56</v>
      </c>
      <c r="Q70" s="54" t="s">
        <v>57</v>
      </c>
      <c r="R70" s="24" t="str">
        <f t="shared" si="1"/>
        <v>ENCERRADO HÁ 64 DIAS</v>
      </c>
      <c r="S70" s="43" t="s">
        <v>175</v>
      </c>
      <c r="T70" s="27" t="s">
        <v>400</v>
      </c>
      <c r="U70" s="100" t="s">
        <v>401</v>
      </c>
      <c r="V70" s="100" t="s">
        <v>41</v>
      </c>
      <c r="W70" s="27" t="s">
        <v>72</v>
      </c>
      <c r="X70" s="27"/>
      <c r="Y70" s="55"/>
      <c r="Z70" s="56"/>
      <c r="AA70" s="56"/>
      <c r="AB70" s="56"/>
      <c r="AC70" s="56"/>
      <c r="AD70" s="56"/>
      <c r="AE70" s="33"/>
    </row>
    <row r="71">
      <c r="A71" s="33" t="s">
        <v>402</v>
      </c>
      <c r="B71" s="69" t="s">
        <v>403</v>
      </c>
      <c r="C71" s="68" t="s">
        <v>404</v>
      </c>
      <c r="D71" s="69" t="s">
        <v>405</v>
      </c>
      <c r="E71" s="27" t="s">
        <v>406</v>
      </c>
      <c r="F71" s="37" t="s">
        <v>97</v>
      </c>
      <c r="G71" s="38">
        <v>2024.0</v>
      </c>
      <c r="H71" s="41">
        <v>45504.0</v>
      </c>
      <c r="I71" s="40"/>
      <c r="J71" s="41">
        <v>46052.0</v>
      </c>
      <c r="K71" s="27"/>
      <c r="L71" s="27"/>
      <c r="M71" s="70"/>
      <c r="N71" s="70">
        <v>1978910.4166</v>
      </c>
      <c r="O71" s="70">
        <v>501782.87</v>
      </c>
      <c r="P71" s="72" t="s">
        <v>56</v>
      </c>
      <c r="Q71" s="54" t="s">
        <v>57</v>
      </c>
      <c r="R71" s="24">
        <f t="shared" si="1"/>
        <v>44</v>
      </c>
      <c r="S71" s="43" t="s">
        <v>152</v>
      </c>
      <c r="T71" s="27" t="s">
        <v>407</v>
      </c>
      <c r="U71" s="27" t="s">
        <v>408</v>
      </c>
      <c r="V71" s="100" t="s">
        <v>41</v>
      </c>
      <c r="W71" s="27" t="s">
        <v>72</v>
      </c>
      <c r="X71" s="27"/>
      <c r="Y71" s="55"/>
      <c r="Z71" s="56"/>
      <c r="AA71" s="56"/>
      <c r="AB71" s="56"/>
      <c r="AC71" s="56"/>
      <c r="AD71" s="56"/>
      <c r="AE71" s="32"/>
    </row>
    <row r="72">
      <c r="A72" s="33" t="s">
        <v>409</v>
      </c>
      <c r="B72" s="69" t="s">
        <v>410</v>
      </c>
      <c r="C72" s="68" t="s">
        <v>411</v>
      </c>
      <c r="D72" s="69" t="s">
        <v>412</v>
      </c>
      <c r="E72" s="27" t="s">
        <v>35</v>
      </c>
      <c r="F72" s="37" t="s">
        <v>413</v>
      </c>
      <c r="G72" s="38">
        <v>2024.0</v>
      </c>
      <c r="H72" s="56">
        <v>45639.0</v>
      </c>
      <c r="I72" s="40" t="s">
        <v>92</v>
      </c>
      <c r="J72" s="41">
        <v>46031.0</v>
      </c>
      <c r="K72" s="27" t="s">
        <v>55</v>
      </c>
      <c r="L72" s="27" t="s">
        <v>92</v>
      </c>
      <c r="M72" s="70"/>
      <c r="N72" s="124">
        <v>167348.5899</v>
      </c>
      <c r="O72" s="70">
        <v>103206.32</v>
      </c>
      <c r="P72" s="33" t="s">
        <v>56</v>
      </c>
      <c r="Q72" s="125" t="s">
        <v>57</v>
      </c>
      <c r="R72" s="24">
        <f t="shared" si="1"/>
        <v>23</v>
      </c>
      <c r="S72" s="43"/>
      <c r="T72" s="27" t="s">
        <v>407</v>
      </c>
      <c r="U72" s="100" t="s">
        <v>414</v>
      </c>
      <c r="V72" s="100" t="s">
        <v>41</v>
      </c>
      <c r="W72" s="27" t="s">
        <v>72</v>
      </c>
      <c r="X72" s="27"/>
      <c r="Y72" s="55"/>
      <c r="Z72" s="56"/>
      <c r="AA72" s="56"/>
      <c r="AB72" s="56"/>
      <c r="AC72" s="56"/>
      <c r="AD72" s="56"/>
      <c r="AE72" s="32"/>
    </row>
    <row r="73">
      <c r="A73" s="57" t="s">
        <v>415</v>
      </c>
      <c r="B73" s="97" t="s">
        <v>416</v>
      </c>
      <c r="C73" s="98" t="s">
        <v>417</v>
      </c>
      <c r="D73" s="99" t="s">
        <v>418</v>
      </c>
      <c r="E73" s="100" t="s">
        <v>35</v>
      </c>
      <c r="F73" s="37" t="s">
        <v>419</v>
      </c>
      <c r="G73" s="38">
        <v>2025.0</v>
      </c>
      <c r="H73" s="109">
        <v>45855.0</v>
      </c>
      <c r="I73" s="110"/>
      <c r="J73" s="101">
        <v>46220.0</v>
      </c>
      <c r="K73" s="100"/>
      <c r="L73" s="100"/>
      <c r="M73" s="102"/>
      <c r="N73" s="102">
        <v>744827.31</v>
      </c>
      <c r="O73" s="102">
        <v>0.0</v>
      </c>
      <c r="P73" s="57" t="s">
        <v>56</v>
      </c>
      <c r="Q73" s="57" t="s">
        <v>57</v>
      </c>
      <c r="R73" s="24">
        <f t="shared" si="1"/>
        <v>212</v>
      </c>
      <c r="S73" s="43"/>
      <c r="T73" s="100" t="s">
        <v>58</v>
      </c>
      <c r="U73" s="27" t="s">
        <v>98</v>
      </c>
      <c r="V73" s="100" t="s">
        <v>41</v>
      </c>
      <c r="W73" s="27" t="s">
        <v>72</v>
      </c>
      <c r="X73" s="27"/>
      <c r="Y73" s="55"/>
      <c r="Z73" s="56"/>
      <c r="AA73" s="56"/>
      <c r="AB73" s="56"/>
      <c r="AC73" s="56"/>
      <c r="AD73" s="56"/>
      <c r="AE73" s="32"/>
    </row>
    <row r="74">
      <c r="A74" s="57" t="s">
        <v>420</v>
      </c>
      <c r="B74" s="97" t="s">
        <v>421</v>
      </c>
      <c r="C74" s="98" t="s">
        <v>422</v>
      </c>
      <c r="D74" s="99" t="s">
        <v>423</v>
      </c>
      <c r="E74" s="100" t="s">
        <v>35</v>
      </c>
      <c r="F74" s="37" t="s">
        <v>424</v>
      </c>
      <c r="G74" s="38">
        <v>2025.0</v>
      </c>
      <c r="H74" s="109">
        <v>45855.0</v>
      </c>
      <c r="I74" s="109"/>
      <c r="J74" s="101">
        <v>46220.0</v>
      </c>
      <c r="K74" s="100"/>
      <c r="L74" s="100"/>
      <c r="M74" s="102"/>
      <c r="N74" s="102">
        <v>140499.99</v>
      </c>
      <c r="O74" s="102">
        <v>0.0</v>
      </c>
      <c r="P74" s="57" t="s">
        <v>56</v>
      </c>
      <c r="Q74" s="126" t="s">
        <v>57</v>
      </c>
      <c r="R74" s="24">
        <f t="shared" si="1"/>
        <v>212</v>
      </c>
      <c r="S74" s="43"/>
      <c r="T74" s="100" t="s">
        <v>425</v>
      </c>
      <c r="U74" s="100" t="s">
        <v>426</v>
      </c>
      <c r="V74" s="100" t="s">
        <v>41</v>
      </c>
      <c r="W74" s="27" t="s">
        <v>72</v>
      </c>
      <c r="X74" s="27"/>
      <c r="Y74" s="55"/>
      <c r="Z74" s="56"/>
      <c r="AA74" s="56"/>
      <c r="AB74" s="56"/>
      <c r="AC74" s="56"/>
      <c r="AD74" s="56"/>
      <c r="AE74" s="32"/>
    </row>
    <row r="75">
      <c r="A75" s="57" t="s">
        <v>427</v>
      </c>
      <c r="B75" s="97" t="s">
        <v>428</v>
      </c>
      <c r="C75" s="98" t="s">
        <v>429</v>
      </c>
      <c r="D75" s="99" t="s">
        <v>430</v>
      </c>
      <c r="E75" s="100" t="s">
        <v>35</v>
      </c>
      <c r="F75" s="37" t="s">
        <v>304</v>
      </c>
      <c r="G75" s="38">
        <v>2025.0</v>
      </c>
      <c r="H75" s="56">
        <v>45833.0</v>
      </c>
      <c r="I75" s="40"/>
      <c r="J75" s="41">
        <v>46103.0</v>
      </c>
      <c r="K75" s="100"/>
      <c r="L75" s="100"/>
      <c r="M75" s="102"/>
      <c r="N75" s="102">
        <v>178899.9935</v>
      </c>
      <c r="O75" s="102">
        <v>0.0</v>
      </c>
      <c r="P75" s="57" t="s">
        <v>56</v>
      </c>
      <c r="Q75" s="57" t="s">
        <v>57</v>
      </c>
      <c r="R75" s="24">
        <f t="shared" si="1"/>
        <v>95</v>
      </c>
      <c r="S75" s="43"/>
      <c r="T75" s="100" t="s">
        <v>382</v>
      </c>
      <c r="U75" s="100" t="s">
        <v>431</v>
      </c>
      <c r="V75" s="100" t="s">
        <v>41</v>
      </c>
      <c r="W75" s="27" t="s">
        <v>72</v>
      </c>
      <c r="X75" s="27"/>
      <c r="Y75" s="55"/>
      <c r="Z75" s="56"/>
      <c r="AA75" s="56"/>
      <c r="AB75" s="56"/>
      <c r="AC75" s="56"/>
      <c r="AD75" s="56"/>
      <c r="AE75" s="32"/>
    </row>
    <row r="76">
      <c r="A76" s="33" t="s">
        <v>432</v>
      </c>
      <c r="B76" s="67" t="s">
        <v>433</v>
      </c>
      <c r="C76" s="68" t="s">
        <v>434</v>
      </c>
      <c r="D76" s="69" t="s">
        <v>435</v>
      </c>
      <c r="E76" s="27" t="s">
        <v>227</v>
      </c>
      <c r="F76" s="37" t="s">
        <v>126</v>
      </c>
      <c r="G76" s="38">
        <v>2025.0</v>
      </c>
      <c r="H76" s="56">
        <v>45833.0</v>
      </c>
      <c r="I76" s="40"/>
      <c r="J76" s="41">
        <v>46198.0</v>
      </c>
      <c r="K76" s="27" t="s">
        <v>55</v>
      </c>
      <c r="L76" s="27" t="s">
        <v>55</v>
      </c>
      <c r="M76" s="70">
        <v>16639.62</v>
      </c>
      <c r="N76" s="70">
        <v>199675.44</v>
      </c>
      <c r="O76" s="70">
        <v>0.0</v>
      </c>
      <c r="P76" s="33" t="s">
        <v>56</v>
      </c>
      <c r="Q76" s="54" t="s">
        <v>80</v>
      </c>
      <c r="R76" s="24">
        <f t="shared" si="1"/>
        <v>190</v>
      </c>
      <c r="S76" s="43"/>
      <c r="T76" s="27" t="s">
        <v>161</v>
      </c>
      <c r="U76" s="27" t="s">
        <v>98</v>
      </c>
      <c r="V76" s="27" t="s">
        <v>60</v>
      </c>
      <c r="W76" s="27" t="s">
        <v>72</v>
      </c>
      <c r="X76" s="75"/>
      <c r="Y76" s="76"/>
      <c r="Z76" s="77"/>
      <c r="AA76" s="77"/>
      <c r="AB76" s="77"/>
      <c r="AC76" s="77"/>
      <c r="AD76" s="77"/>
      <c r="AE76" s="32"/>
    </row>
    <row r="77">
      <c r="A77" s="33" t="s">
        <v>436</v>
      </c>
      <c r="B77" s="67" t="s">
        <v>437</v>
      </c>
      <c r="C77" s="68" t="s">
        <v>438</v>
      </c>
      <c r="D77" s="69" t="s">
        <v>439</v>
      </c>
      <c r="E77" s="27" t="s">
        <v>35</v>
      </c>
      <c r="F77" s="37" t="s">
        <v>179</v>
      </c>
      <c r="G77" s="38">
        <v>2025.0</v>
      </c>
      <c r="H77" s="41">
        <v>45840.0</v>
      </c>
      <c r="I77" s="40" t="s">
        <v>55</v>
      </c>
      <c r="J77" s="41">
        <v>45960.0</v>
      </c>
      <c r="K77" s="27" t="s">
        <v>55</v>
      </c>
      <c r="L77" s="27" t="s">
        <v>55</v>
      </c>
      <c r="M77" s="70"/>
      <c r="N77" s="70">
        <v>98306.71</v>
      </c>
      <c r="O77" s="70">
        <v>0.0</v>
      </c>
      <c r="P77" s="33" t="s">
        <v>56</v>
      </c>
      <c r="Q77" s="54" t="s">
        <v>38</v>
      </c>
      <c r="R77" s="24" t="str">
        <f t="shared" si="1"/>
        <v>ENCERRADO HÁ 48 DIAS</v>
      </c>
      <c r="S77" s="43" t="s">
        <v>230</v>
      </c>
      <c r="T77" s="27" t="s">
        <v>389</v>
      </c>
      <c r="U77" s="27" t="s">
        <v>39</v>
      </c>
      <c r="V77" s="27" t="s">
        <v>41</v>
      </c>
      <c r="W77" s="27" t="s">
        <v>72</v>
      </c>
      <c r="X77" s="27"/>
      <c r="Y77" s="55"/>
      <c r="Z77" s="56"/>
      <c r="AA77" s="56"/>
      <c r="AB77" s="56"/>
      <c r="AC77" s="56"/>
      <c r="AD77" s="56"/>
      <c r="AE77" s="32"/>
    </row>
    <row r="78">
      <c r="A78" s="127" t="s">
        <v>440</v>
      </c>
      <c r="B78" s="128" t="s">
        <v>441</v>
      </c>
      <c r="C78" s="129" t="s">
        <v>442</v>
      </c>
      <c r="D78" s="128" t="s">
        <v>443</v>
      </c>
      <c r="E78" s="130" t="s">
        <v>35</v>
      </c>
      <c r="F78" s="37" t="s">
        <v>444</v>
      </c>
      <c r="G78" s="38">
        <v>2022.0</v>
      </c>
      <c r="H78" s="56">
        <v>44917.0</v>
      </c>
      <c r="I78" s="130"/>
      <c r="J78" s="41">
        <v>46013.0</v>
      </c>
      <c r="K78" s="27"/>
      <c r="L78" s="27"/>
      <c r="M78" s="70"/>
      <c r="N78" s="70">
        <v>957100.0</v>
      </c>
      <c r="O78" s="70">
        <v>599000.0</v>
      </c>
      <c r="P78" s="104" t="s">
        <v>56</v>
      </c>
      <c r="Q78" s="54" t="s">
        <v>57</v>
      </c>
      <c r="R78" s="24">
        <f t="shared" si="1"/>
        <v>5</v>
      </c>
      <c r="S78" s="43" t="s">
        <v>71</v>
      </c>
      <c r="T78" s="27" t="s">
        <v>445</v>
      </c>
      <c r="U78" s="27" t="s">
        <v>342</v>
      </c>
      <c r="V78" s="100" t="s">
        <v>161</v>
      </c>
      <c r="W78" s="27"/>
      <c r="X78" s="27"/>
      <c r="Y78" s="55"/>
      <c r="Z78" s="56"/>
      <c r="AA78" s="56"/>
      <c r="AB78" s="56"/>
      <c r="AC78" s="56"/>
      <c r="AD78" s="56"/>
      <c r="AE78" s="32"/>
    </row>
    <row r="79">
      <c r="A79" s="33" t="s">
        <v>446</v>
      </c>
      <c r="B79" s="67" t="s">
        <v>258</v>
      </c>
      <c r="C79" s="131" t="s">
        <v>447</v>
      </c>
      <c r="D79" s="128" t="s">
        <v>448</v>
      </c>
      <c r="E79" s="127" t="s">
        <v>105</v>
      </c>
      <c r="F79" s="37" t="s">
        <v>256</v>
      </c>
      <c r="G79" s="38">
        <v>2023.0</v>
      </c>
      <c r="H79" s="41">
        <v>45288.0</v>
      </c>
      <c r="I79" s="127"/>
      <c r="J79" s="41">
        <v>46384.0</v>
      </c>
      <c r="K79" s="27"/>
      <c r="L79" s="27"/>
      <c r="M79" s="70"/>
      <c r="N79" s="132">
        <v>194064.3</v>
      </c>
      <c r="O79" s="70">
        <v>194064.3</v>
      </c>
      <c r="P79" s="57" t="s">
        <v>56</v>
      </c>
      <c r="Q79" s="54" t="s">
        <v>57</v>
      </c>
      <c r="R79" s="24">
        <f t="shared" si="1"/>
        <v>376</v>
      </c>
      <c r="S79" s="43"/>
      <c r="T79" s="27"/>
      <c r="U79" s="27"/>
      <c r="V79" s="100" t="s">
        <v>41</v>
      </c>
      <c r="W79" s="27"/>
      <c r="X79" s="27"/>
      <c r="Y79" s="55"/>
      <c r="Z79" s="56"/>
      <c r="AA79" s="56"/>
      <c r="AB79" s="56"/>
      <c r="AC79" s="56"/>
      <c r="AD79" s="56"/>
      <c r="AE79" s="32" t="s">
        <v>384</v>
      </c>
    </row>
    <row r="80">
      <c r="A80" s="33" t="s">
        <v>449</v>
      </c>
      <c r="B80" s="97" t="s">
        <v>450</v>
      </c>
      <c r="C80" s="98" t="s">
        <v>451</v>
      </c>
      <c r="D80" s="99" t="s">
        <v>452</v>
      </c>
      <c r="E80" s="100" t="s">
        <v>105</v>
      </c>
      <c r="F80" s="37" t="s">
        <v>453</v>
      </c>
      <c r="G80" s="38">
        <v>2025.0</v>
      </c>
      <c r="H80" s="56">
        <v>45903.0</v>
      </c>
      <c r="I80" s="40" t="s">
        <v>55</v>
      </c>
      <c r="J80" s="41">
        <v>46268.0</v>
      </c>
      <c r="K80" s="100" t="s">
        <v>55</v>
      </c>
      <c r="L80" s="100" t="s">
        <v>55</v>
      </c>
      <c r="M80" s="102">
        <v>500.0</v>
      </c>
      <c r="N80" s="102">
        <v>6000.0</v>
      </c>
      <c r="O80" s="102">
        <v>0.0</v>
      </c>
      <c r="P80" s="57" t="s">
        <v>56</v>
      </c>
      <c r="Q80" s="66" t="s">
        <v>57</v>
      </c>
      <c r="R80" s="24">
        <f t="shared" si="1"/>
        <v>260</v>
      </c>
      <c r="S80" s="43"/>
      <c r="T80" s="100" t="s">
        <v>58</v>
      </c>
      <c r="U80" s="27" t="s">
        <v>59</v>
      </c>
      <c r="V80" s="100" t="s">
        <v>60</v>
      </c>
      <c r="W80" s="27" t="s">
        <v>72</v>
      </c>
      <c r="X80" s="36"/>
      <c r="Y80" s="105"/>
      <c r="Z80" s="106"/>
      <c r="AA80" s="106"/>
      <c r="AB80" s="106"/>
      <c r="AC80" s="106"/>
      <c r="AD80" s="106"/>
      <c r="AE80" s="32"/>
    </row>
    <row r="81">
      <c r="A81" s="33" t="s">
        <v>454</v>
      </c>
      <c r="B81" s="97" t="s">
        <v>455</v>
      </c>
      <c r="C81" s="98" t="s">
        <v>456</v>
      </c>
      <c r="D81" s="99" t="s">
        <v>457</v>
      </c>
      <c r="E81" s="27" t="s">
        <v>105</v>
      </c>
      <c r="F81" s="37" t="s">
        <v>316</v>
      </c>
      <c r="G81" s="38">
        <v>2025.0</v>
      </c>
      <c r="H81" s="56">
        <v>45896.0</v>
      </c>
      <c r="I81" s="40"/>
      <c r="J81" s="41">
        <v>46261.0</v>
      </c>
      <c r="K81" s="100"/>
      <c r="L81" s="100"/>
      <c r="M81" s="102"/>
      <c r="N81" s="102">
        <v>5904.0</v>
      </c>
      <c r="O81" s="102">
        <v>830.0</v>
      </c>
      <c r="P81" s="57" t="s">
        <v>56</v>
      </c>
      <c r="Q81" s="66" t="s">
        <v>57</v>
      </c>
      <c r="R81" s="24">
        <f t="shared" si="1"/>
        <v>253</v>
      </c>
      <c r="S81" s="43"/>
      <c r="T81" s="100" t="s">
        <v>382</v>
      </c>
      <c r="U81" s="27" t="s">
        <v>383</v>
      </c>
      <c r="V81" s="100" t="s">
        <v>41</v>
      </c>
      <c r="W81" s="27" t="s">
        <v>72</v>
      </c>
      <c r="X81" s="36"/>
      <c r="Y81" s="105"/>
      <c r="Z81" s="106"/>
      <c r="AA81" s="106"/>
      <c r="AB81" s="106"/>
      <c r="AC81" s="106"/>
      <c r="AD81" s="106"/>
      <c r="AE81" s="32"/>
    </row>
    <row r="82">
      <c r="A82" s="33" t="s">
        <v>458</v>
      </c>
      <c r="B82" s="97" t="s">
        <v>459</v>
      </c>
      <c r="C82" s="98" t="s">
        <v>460</v>
      </c>
      <c r="D82" s="99" t="s">
        <v>461</v>
      </c>
      <c r="E82" s="27" t="s">
        <v>105</v>
      </c>
      <c r="F82" s="37" t="s">
        <v>121</v>
      </c>
      <c r="G82" s="38">
        <v>2025.0</v>
      </c>
      <c r="H82" s="56">
        <v>45923.0</v>
      </c>
      <c r="I82" s="40"/>
      <c r="J82" s="41">
        <v>46288.0</v>
      </c>
      <c r="K82" s="100" t="s">
        <v>55</v>
      </c>
      <c r="L82" s="100"/>
      <c r="M82" s="102"/>
      <c r="N82" s="102">
        <v>1205.28</v>
      </c>
      <c r="O82" s="102">
        <v>1205.28</v>
      </c>
      <c r="P82" s="57" t="s">
        <v>56</v>
      </c>
      <c r="Q82" s="66" t="s">
        <v>57</v>
      </c>
      <c r="R82" s="24">
        <f t="shared" si="1"/>
        <v>280</v>
      </c>
      <c r="S82" s="43"/>
      <c r="T82" s="100" t="s">
        <v>462</v>
      </c>
      <c r="U82" s="27" t="s">
        <v>138</v>
      </c>
      <c r="V82" s="100" t="s">
        <v>224</v>
      </c>
      <c r="W82" s="27" t="s">
        <v>72</v>
      </c>
      <c r="X82" s="36" t="s">
        <v>463</v>
      </c>
      <c r="Y82" s="105">
        <v>1205.28</v>
      </c>
      <c r="Z82" s="106">
        <v>45866.0</v>
      </c>
      <c r="AA82" s="106">
        <v>45867.0</v>
      </c>
      <c r="AB82" s="106">
        <v>45867.0</v>
      </c>
      <c r="AC82" s="106">
        <v>45947.0</v>
      </c>
      <c r="AD82" s="106">
        <v>45947.0</v>
      </c>
      <c r="AE82" s="32" t="s">
        <v>61</v>
      </c>
    </row>
    <row r="83">
      <c r="A83" s="33" t="s">
        <v>464</v>
      </c>
      <c r="B83" s="67" t="s">
        <v>465</v>
      </c>
      <c r="C83" s="68" t="s">
        <v>466</v>
      </c>
      <c r="D83" s="69" t="s">
        <v>467</v>
      </c>
      <c r="E83" s="27" t="s">
        <v>105</v>
      </c>
      <c r="F83" s="108" t="s">
        <v>468</v>
      </c>
      <c r="G83" s="38">
        <v>2024.0</v>
      </c>
      <c r="H83" s="41">
        <v>45400.0</v>
      </c>
      <c r="I83" s="40"/>
      <c r="J83" s="41">
        <v>45765.0</v>
      </c>
      <c r="K83" s="27"/>
      <c r="L83" s="27"/>
      <c r="M83" s="70"/>
      <c r="N83" s="70">
        <v>3960.0</v>
      </c>
      <c r="O83" s="70">
        <v>3960.0</v>
      </c>
      <c r="P83" s="33" t="s">
        <v>37</v>
      </c>
      <c r="Q83" s="54" t="s">
        <v>57</v>
      </c>
      <c r="R83" s="24" t="str">
        <f t="shared" si="1"/>
        <v>ENCERRADO HÁ 243 DIAS</v>
      </c>
      <c r="S83" s="43" t="s">
        <v>37</v>
      </c>
      <c r="T83" s="27" t="s">
        <v>41</v>
      </c>
      <c r="U83" s="27" t="s">
        <v>59</v>
      </c>
      <c r="V83" s="27" t="s">
        <v>60</v>
      </c>
      <c r="W83" s="27" t="s">
        <v>72</v>
      </c>
      <c r="X83" s="44"/>
      <c r="Y83" s="45"/>
      <c r="Z83" s="46"/>
      <c r="AA83" s="46"/>
      <c r="AB83" s="46"/>
      <c r="AC83" s="46"/>
      <c r="AD83" s="46"/>
      <c r="AE83" s="32" t="s">
        <v>37</v>
      </c>
    </row>
    <row r="84">
      <c r="A84" s="33" t="s">
        <v>469</v>
      </c>
      <c r="B84" s="67" t="s">
        <v>470</v>
      </c>
      <c r="C84" s="68" t="s">
        <v>471</v>
      </c>
      <c r="D84" s="69" t="s">
        <v>467</v>
      </c>
      <c r="E84" s="27" t="s">
        <v>105</v>
      </c>
      <c r="F84" s="108" t="s">
        <v>468</v>
      </c>
      <c r="G84" s="38">
        <v>2024.0</v>
      </c>
      <c r="H84" s="41">
        <v>45400.0</v>
      </c>
      <c r="I84" s="40"/>
      <c r="J84" s="41">
        <v>45765.0</v>
      </c>
      <c r="K84" s="27"/>
      <c r="L84" s="27"/>
      <c r="M84" s="70"/>
      <c r="N84" s="70">
        <v>5398.0</v>
      </c>
      <c r="O84" s="70">
        <v>5398.0</v>
      </c>
      <c r="P84" s="33" t="s">
        <v>37</v>
      </c>
      <c r="Q84" s="54" t="s">
        <v>57</v>
      </c>
      <c r="R84" s="24" t="str">
        <f t="shared" si="1"/>
        <v>ENCERRADO HÁ 243 DIAS</v>
      </c>
      <c r="S84" s="43" t="s">
        <v>37</v>
      </c>
      <c r="T84" s="27" t="s">
        <v>41</v>
      </c>
      <c r="U84" s="27" t="s">
        <v>59</v>
      </c>
      <c r="V84" s="27" t="s">
        <v>60</v>
      </c>
      <c r="W84" s="27" t="s">
        <v>72</v>
      </c>
      <c r="X84" s="44"/>
      <c r="Y84" s="45"/>
      <c r="Z84" s="46"/>
      <c r="AA84" s="46"/>
      <c r="AB84" s="46"/>
      <c r="AC84" s="46"/>
      <c r="AD84" s="46"/>
      <c r="AE84" s="32" t="s">
        <v>37</v>
      </c>
    </row>
    <row r="85">
      <c r="A85" s="33" t="s">
        <v>472</v>
      </c>
      <c r="B85" s="97" t="s">
        <v>473</v>
      </c>
      <c r="C85" s="68" t="s">
        <v>474</v>
      </c>
      <c r="D85" s="99" t="s">
        <v>388</v>
      </c>
      <c r="E85" s="100" t="s">
        <v>35</v>
      </c>
      <c r="F85" s="37" t="s">
        <v>66</v>
      </c>
      <c r="G85" s="38">
        <v>2025.0</v>
      </c>
      <c r="H85" s="101">
        <v>45671.0</v>
      </c>
      <c r="I85" s="110"/>
      <c r="J85" s="133">
        <f>H85+210</f>
        <v>45881</v>
      </c>
      <c r="K85" s="100"/>
      <c r="L85" s="100"/>
      <c r="M85" s="102"/>
      <c r="N85" s="102">
        <v>6340001.0</v>
      </c>
      <c r="O85" s="102">
        <v>6340001.0</v>
      </c>
      <c r="P85" s="104" t="s">
        <v>37</v>
      </c>
      <c r="Q85" s="54" t="s">
        <v>38</v>
      </c>
      <c r="R85" s="24" t="str">
        <f t="shared" si="1"/>
        <v>ENCERRADO HÁ 127 DIAS</v>
      </c>
      <c r="S85" s="43" t="s">
        <v>230</v>
      </c>
      <c r="T85" s="100" t="s">
        <v>389</v>
      </c>
      <c r="U85" s="27" t="s">
        <v>39</v>
      </c>
      <c r="V85" s="100" t="s">
        <v>41</v>
      </c>
      <c r="W85" s="27" t="s">
        <v>72</v>
      </c>
      <c r="X85" s="44"/>
      <c r="Y85" s="45"/>
      <c r="Z85" s="46"/>
      <c r="AA85" s="46"/>
      <c r="AB85" s="46"/>
      <c r="AC85" s="46"/>
      <c r="AD85" s="46"/>
      <c r="AE85" s="32" t="s">
        <v>37</v>
      </c>
    </row>
    <row r="86">
      <c r="A86" s="33" t="s">
        <v>475</v>
      </c>
      <c r="B86" s="67" t="s">
        <v>476</v>
      </c>
      <c r="C86" s="98" t="s">
        <v>477</v>
      </c>
      <c r="D86" s="134" t="s">
        <v>478</v>
      </c>
      <c r="E86" s="135" t="s">
        <v>105</v>
      </c>
      <c r="F86" s="37" t="s">
        <v>53</v>
      </c>
      <c r="G86" s="38">
        <v>2020.0</v>
      </c>
      <c r="H86" s="41">
        <v>44070.0</v>
      </c>
      <c r="I86" s="40"/>
      <c r="J86" s="41">
        <v>45896.0</v>
      </c>
      <c r="K86" s="40"/>
      <c r="L86" s="27"/>
      <c r="M86" s="70">
        <v>442.5</v>
      </c>
      <c r="N86" s="70">
        <v>26718.51</v>
      </c>
      <c r="O86" s="70">
        <v>23374.98</v>
      </c>
      <c r="P86" s="136" t="s">
        <v>37</v>
      </c>
      <c r="Q86" s="54" t="s">
        <v>57</v>
      </c>
      <c r="R86" s="24" t="str">
        <f t="shared" si="1"/>
        <v>ENCERRADO HÁ 112 DIAS</v>
      </c>
      <c r="S86" s="43" t="s">
        <v>37</v>
      </c>
      <c r="T86" s="27" t="s">
        <v>41</v>
      </c>
      <c r="U86" s="27" t="s">
        <v>479</v>
      </c>
      <c r="V86" s="27" t="s">
        <v>60</v>
      </c>
      <c r="W86" s="27" t="s">
        <v>42</v>
      </c>
      <c r="X86" s="44"/>
      <c r="Y86" s="45"/>
      <c r="Z86" s="46"/>
      <c r="AA86" s="46"/>
      <c r="AB86" s="46"/>
      <c r="AC86" s="46"/>
      <c r="AD86" s="46"/>
      <c r="AE86" s="32" t="s">
        <v>37</v>
      </c>
    </row>
    <row r="87">
      <c r="A87" s="33" t="s">
        <v>480</v>
      </c>
      <c r="B87" s="69" t="s">
        <v>258</v>
      </c>
      <c r="C87" s="68" t="s">
        <v>481</v>
      </c>
      <c r="D87" s="69" t="s">
        <v>482</v>
      </c>
      <c r="E87" s="27" t="s">
        <v>105</v>
      </c>
      <c r="F87" s="137" t="s">
        <v>53</v>
      </c>
      <c r="G87" s="138">
        <v>2025.0</v>
      </c>
      <c r="H87" s="56">
        <v>45839.0</v>
      </c>
      <c r="I87" s="40"/>
      <c r="J87" s="41">
        <v>46935.0</v>
      </c>
      <c r="K87" s="27"/>
      <c r="L87" s="27"/>
      <c r="M87" s="70"/>
      <c r="N87" s="70">
        <v>366015.0</v>
      </c>
      <c r="O87" s="70">
        <v>366015.0</v>
      </c>
      <c r="P87" s="33" t="s">
        <v>56</v>
      </c>
      <c r="Q87" s="33" t="s">
        <v>57</v>
      </c>
      <c r="R87" s="24">
        <f t="shared" si="1"/>
        <v>927</v>
      </c>
      <c r="S87" s="43"/>
      <c r="T87" s="27" t="s">
        <v>247</v>
      </c>
      <c r="U87" s="27"/>
      <c r="V87" s="27" t="s">
        <v>161</v>
      </c>
      <c r="W87" s="27" t="s">
        <v>72</v>
      </c>
      <c r="X87" s="27"/>
      <c r="Y87" s="55"/>
      <c r="Z87" s="56"/>
      <c r="AA87" s="56"/>
      <c r="AB87" s="56"/>
      <c r="AC87" s="56"/>
      <c r="AD87" s="56"/>
      <c r="AE87" s="32" t="s">
        <v>384</v>
      </c>
    </row>
    <row r="88">
      <c r="A88" s="33" t="s">
        <v>483</v>
      </c>
      <c r="B88" s="69" t="s">
        <v>484</v>
      </c>
      <c r="C88" s="68" t="s">
        <v>485</v>
      </c>
      <c r="D88" s="69" t="s">
        <v>486</v>
      </c>
      <c r="E88" s="27" t="s">
        <v>227</v>
      </c>
      <c r="F88" s="37" t="s">
        <v>111</v>
      </c>
      <c r="G88" s="38">
        <v>2025.0</v>
      </c>
      <c r="H88" s="56">
        <v>45758.0</v>
      </c>
      <c r="I88" s="40"/>
      <c r="J88" s="41">
        <v>46670.0</v>
      </c>
      <c r="K88" s="27"/>
      <c r="L88" s="27"/>
      <c r="M88" s="70">
        <v>17310.0</v>
      </c>
      <c r="N88" s="70">
        <v>207720.0</v>
      </c>
      <c r="O88" s="70">
        <v>34620.0</v>
      </c>
      <c r="P88" s="33" t="s">
        <v>56</v>
      </c>
      <c r="Q88" s="54" t="s">
        <v>57</v>
      </c>
      <c r="R88" s="24">
        <f t="shared" si="1"/>
        <v>662</v>
      </c>
      <c r="S88" s="43"/>
      <c r="T88" s="27" t="s">
        <v>161</v>
      </c>
      <c r="U88" s="27" t="s">
        <v>98</v>
      </c>
      <c r="V88" s="27" t="s">
        <v>60</v>
      </c>
      <c r="W88" s="27" t="s">
        <v>72</v>
      </c>
      <c r="X88" s="27" t="s">
        <v>487</v>
      </c>
      <c r="Y88" s="55">
        <v>17310.0</v>
      </c>
      <c r="Z88" s="56">
        <v>45967.0</v>
      </c>
      <c r="AA88" s="56">
        <v>45971.0</v>
      </c>
      <c r="AB88" s="56">
        <v>45971.0</v>
      </c>
      <c r="AC88" s="56"/>
      <c r="AD88" s="56"/>
      <c r="AE88" s="32"/>
    </row>
    <row r="89">
      <c r="A89" s="33" t="s">
        <v>488</v>
      </c>
      <c r="B89" s="139" t="s">
        <v>489</v>
      </c>
      <c r="C89" s="129" t="s">
        <v>490</v>
      </c>
      <c r="D89" s="128" t="s">
        <v>491</v>
      </c>
      <c r="E89" s="27" t="s">
        <v>105</v>
      </c>
      <c r="F89" s="140" t="s">
        <v>468</v>
      </c>
      <c r="G89" s="138">
        <v>2025.0</v>
      </c>
      <c r="H89" s="41">
        <v>45865.0</v>
      </c>
      <c r="I89" s="41"/>
      <c r="J89" s="41">
        <v>46649.0</v>
      </c>
      <c r="K89" s="27"/>
      <c r="L89" s="27"/>
      <c r="M89" s="102"/>
      <c r="N89" s="102">
        <v>24499.98</v>
      </c>
      <c r="O89" s="70">
        <v>0.0</v>
      </c>
      <c r="P89" s="33" t="s">
        <v>56</v>
      </c>
      <c r="Q89" s="33" t="s">
        <v>57</v>
      </c>
      <c r="R89" s="24">
        <f t="shared" si="1"/>
        <v>641</v>
      </c>
      <c r="S89" s="78"/>
      <c r="T89" s="27" t="s">
        <v>289</v>
      </c>
      <c r="U89" s="27" t="s">
        <v>290</v>
      </c>
      <c r="V89" s="27" t="s">
        <v>224</v>
      </c>
      <c r="W89" s="27" t="s">
        <v>72</v>
      </c>
      <c r="X89" s="27"/>
      <c r="Y89" s="55"/>
      <c r="Z89" s="56"/>
      <c r="AA89" s="56"/>
      <c r="AB89" s="56"/>
      <c r="AC89" s="56"/>
      <c r="AD89" s="56"/>
      <c r="AE89" s="33"/>
    </row>
    <row r="90">
      <c r="A90" s="33" t="s">
        <v>492</v>
      </c>
      <c r="B90" s="13" t="s">
        <v>493</v>
      </c>
      <c r="C90" s="129" t="s">
        <v>494</v>
      </c>
      <c r="D90" s="99" t="s">
        <v>495</v>
      </c>
      <c r="E90" s="27" t="s">
        <v>496</v>
      </c>
      <c r="F90" s="37">
        <v>18.0</v>
      </c>
      <c r="G90" s="38">
        <v>2025.0</v>
      </c>
      <c r="H90" s="41">
        <v>45940.0</v>
      </c>
      <c r="I90" s="127"/>
      <c r="J90" s="41">
        <f>H90+240</f>
        <v>46180</v>
      </c>
      <c r="K90" s="27"/>
      <c r="L90" s="27"/>
      <c r="M90" s="70"/>
      <c r="N90" s="102">
        <v>1467840.97</v>
      </c>
      <c r="O90" s="70">
        <v>0.0</v>
      </c>
      <c r="P90" s="33" t="s">
        <v>56</v>
      </c>
      <c r="Q90" s="33" t="s">
        <v>57</v>
      </c>
      <c r="R90" s="24">
        <f t="shared" si="1"/>
        <v>172</v>
      </c>
      <c r="S90" s="78"/>
      <c r="T90" s="27" t="s">
        <v>382</v>
      </c>
      <c r="U90" s="27" t="s">
        <v>497</v>
      </c>
      <c r="V90" s="27" t="s">
        <v>224</v>
      </c>
      <c r="W90" s="27" t="s">
        <v>72</v>
      </c>
      <c r="X90" s="27"/>
      <c r="Y90" s="55"/>
      <c r="Z90" s="56"/>
      <c r="AA90" s="56"/>
      <c r="AB90" s="56"/>
      <c r="AC90" s="56"/>
      <c r="AD90" s="56"/>
      <c r="AE90" s="33"/>
    </row>
    <row r="91">
      <c r="A91" s="33" t="s">
        <v>498</v>
      </c>
      <c r="B91" s="13" t="s">
        <v>493</v>
      </c>
      <c r="C91" s="129" t="s">
        <v>499</v>
      </c>
      <c r="D91" s="99" t="s">
        <v>495</v>
      </c>
      <c r="E91" s="27" t="s">
        <v>496</v>
      </c>
      <c r="F91" s="37">
        <v>18.0</v>
      </c>
      <c r="G91" s="38">
        <v>2025.0</v>
      </c>
      <c r="H91" s="41">
        <v>45940.0</v>
      </c>
      <c r="I91" s="127"/>
      <c r="J91" s="41">
        <f>H91+270</f>
        <v>46210</v>
      </c>
      <c r="K91" s="27"/>
      <c r="L91" s="27"/>
      <c r="M91" s="70"/>
      <c r="N91" s="102">
        <v>1467840.97</v>
      </c>
      <c r="O91" s="70">
        <v>0.0</v>
      </c>
      <c r="P91" s="33" t="s">
        <v>56</v>
      </c>
      <c r="Q91" s="33" t="s">
        <v>57</v>
      </c>
      <c r="R91" s="24">
        <f t="shared" si="1"/>
        <v>202</v>
      </c>
      <c r="S91" s="78"/>
      <c r="T91" s="27" t="s">
        <v>382</v>
      </c>
      <c r="U91" s="27" t="s">
        <v>408</v>
      </c>
      <c r="V91" s="27" t="s">
        <v>224</v>
      </c>
      <c r="W91" s="27" t="s">
        <v>72</v>
      </c>
      <c r="X91" s="27"/>
      <c r="Y91" s="55"/>
      <c r="Z91" s="56"/>
      <c r="AA91" s="56"/>
      <c r="AB91" s="56"/>
      <c r="AC91" s="56"/>
      <c r="AD91" s="56"/>
      <c r="AE91" s="33"/>
    </row>
    <row r="92">
      <c r="A92" s="33" t="s">
        <v>500</v>
      </c>
      <c r="B92" s="13" t="s">
        <v>493</v>
      </c>
      <c r="C92" s="129" t="s">
        <v>501</v>
      </c>
      <c r="D92" s="99" t="s">
        <v>495</v>
      </c>
      <c r="E92" s="27" t="s">
        <v>496</v>
      </c>
      <c r="F92" s="37">
        <v>18.0</v>
      </c>
      <c r="G92" s="38">
        <v>2025.0</v>
      </c>
      <c r="H92" s="41">
        <v>45940.0</v>
      </c>
      <c r="I92" s="127"/>
      <c r="J92" s="41">
        <f t="shared" ref="J92:J93" si="9">H92+240</f>
        <v>46180</v>
      </c>
      <c r="K92" s="27"/>
      <c r="L92" s="27"/>
      <c r="M92" s="70"/>
      <c r="N92" s="102">
        <v>1467840.97</v>
      </c>
      <c r="O92" s="70">
        <v>0.0</v>
      </c>
      <c r="P92" s="33" t="s">
        <v>56</v>
      </c>
      <c r="Q92" s="33" t="s">
        <v>57</v>
      </c>
      <c r="R92" s="24">
        <f t="shared" si="1"/>
        <v>172</v>
      </c>
      <c r="S92" s="78"/>
      <c r="T92" s="27" t="s">
        <v>382</v>
      </c>
      <c r="U92" s="27" t="s">
        <v>502</v>
      </c>
      <c r="V92" s="27" t="s">
        <v>224</v>
      </c>
      <c r="W92" s="27" t="s">
        <v>72</v>
      </c>
      <c r="X92" s="27"/>
      <c r="Y92" s="55"/>
      <c r="Z92" s="56"/>
      <c r="AA92" s="56"/>
      <c r="AB92" s="56"/>
      <c r="AC92" s="56"/>
      <c r="AD92" s="56"/>
      <c r="AE92" s="33"/>
    </row>
    <row r="93">
      <c r="A93" s="33" t="s">
        <v>503</v>
      </c>
      <c r="B93" s="13" t="s">
        <v>493</v>
      </c>
      <c r="C93" s="129" t="s">
        <v>504</v>
      </c>
      <c r="D93" s="99" t="s">
        <v>495</v>
      </c>
      <c r="E93" s="27" t="s">
        <v>496</v>
      </c>
      <c r="F93" s="37">
        <v>18.0</v>
      </c>
      <c r="G93" s="38">
        <v>2025.0</v>
      </c>
      <c r="H93" s="41">
        <v>45940.0</v>
      </c>
      <c r="I93" s="127"/>
      <c r="J93" s="41">
        <f t="shared" si="9"/>
        <v>46180</v>
      </c>
      <c r="K93" s="27"/>
      <c r="L93" s="27"/>
      <c r="M93" s="70"/>
      <c r="N93" s="102">
        <v>1467840.97</v>
      </c>
      <c r="O93" s="70">
        <v>0.0</v>
      </c>
      <c r="P93" s="33" t="s">
        <v>56</v>
      </c>
      <c r="Q93" s="33" t="s">
        <v>57</v>
      </c>
      <c r="R93" s="24">
        <f t="shared" si="1"/>
        <v>172</v>
      </c>
      <c r="S93" s="78"/>
      <c r="T93" s="27" t="s">
        <v>382</v>
      </c>
      <c r="U93" s="27" t="s">
        <v>505</v>
      </c>
      <c r="V93" s="27" t="s">
        <v>224</v>
      </c>
      <c r="W93" s="27" t="s">
        <v>72</v>
      </c>
      <c r="X93" s="27"/>
      <c r="Y93" s="55"/>
      <c r="Z93" s="56"/>
      <c r="AA93" s="56"/>
      <c r="AB93" s="56"/>
      <c r="AC93" s="56"/>
      <c r="AD93" s="56"/>
      <c r="AE93" s="33"/>
    </row>
    <row r="94">
      <c r="A94" s="33" t="s">
        <v>506</v>
      </c>
      <c r="B94" s="13" t="s">
        <v>507</v>
      </c>
      <c r="C94" s="129" t="s">
        <v>508</v>
      </c>
      <c r="D94" s="99" t="s">
        <v>509</v>
      </c>
      <c r="E94" s="27" t="s">
        <v>496</v>
      </c>
      <c r="F94" s="37">
        <v>19.0</v>
      </c>
      <c r="G94" s="38">
        <v>2025.0</v>
      </c>
      <c r="H94" s="41">
        <v>45940.0</v>
      </c>
      <c r="I94" s="127"/>
      <c r="J94" s="41">
        <f>H94+270</f>
        <v>46210</v>
      </c>
      <c r="K94" s="27"/>
      <c r="L94" s="27"/>
      <c r="M94" s="70"/>
      <c r="N94" s="102">
        <v>450000.0</v>
      </c>
      <c r="O94" s="70">
        <v>0.0</v>
      </c>
      <c r="P94" s="33" t="s">
        <v>56</v>
      </c>
      <c r="Q94" s="33" t="s">
        <v>57</v>
      </c>
      <c r="R94" s="24">
        <f t="shared" si="1"/>
        <v>202</v>
      </c>
      <c r="S94" s="78"/>
      <c r="T94" s="27" t="s">
        <v>510</v>
      </c>
      <c r="U94" s="27" t="s">
        <v>511</v>
      </c>
      <c r="V94" s="27" t="s">
        <v>224</v>
      </c>
      <c r="W94" s="27" t="s">
        <v>72</v>
      </c>
      <c r="X94" s="27"/>
      <c r="Y94" s="55"/>
      <c r="Z94" s="56"/>
      <c r="AA94" s="56"/>
      <c r="AB94" s="56"/>
      <c r="AC94" s="56"/>
      <c r="AD94" s="56"/>
      <c r="AE94" s="33"/>
    </row>
    <row r="95">
      <c r="A95" s="33" t="s">
        <v>512</v>
      </c>
      <c r="B95" s="13" t="s">
        <v>513</v>
      </c>
      <c r="C95" s="129" t="s">
        <v>514</v>
      </c>
      <c r="D95" s="99" t="s">
        <v>515</v>
      </c>
      <c r="E95" s="27" t="s">
        <v>516</v>
      </c>
      <c r="F95" s="138">
        <v>20.0</v>
      </c>
      <c r="G95" s="138">
        <v>2025.0</v>
      </c>
      <c r="H95" s="41">
        <v>45947.0</v>
      </c>
      <c r="I95" s="127"/>
      <c r="J95" s="41">
        <v>46312.0</v>
      </c>
      <c r="K95" s="27"/>
      <c r="L95" s="27"/>
      <c r="M95" s="70"/>
      <c r="N95" s="102">
        <v>6566.4</v>
      </c>
      <c r="O95" s="70">
        <v>0.0</v>
      </c>
      <c r="P95" s="33" t="s">
        <v>56</v>
      </c>
      <c r="Q95" s="33" t="s">
        <v>57</v>
      </c>
      <c r="R95" s="24">
        <f t="shared" si="1"/>
        <v>304</v>
      </c>
      <c r="S95" s="78"/>
      <c r="T95" s="27" t="s">
        <v>517</v>
      </c>
      <c r="U95" s="27" t="s">
        <v>518</v>
      </c>
      <c r="V95" s="27" t="s">
        <v>224</v>
      </c>
      <c r="W95" s="27" t="s">
        <v>72</v>
      </c>
      <c r="X95" s="27"/>
      <c r="Y95" s="55"/>
      <c r="Z95" s="56"/>
      <c r="AA95" s="56"/>
      <c r="AB95" s="56"/>
      <c r="AC95" s="56"/>
      <c r="AD95" s="56"/>
      <c r="AE95" s="33"/>
    </row>
    <row r="96">
      <c r="A96" s="33" t="s">
        <v>519</v>
      </c>
      <c r="B96" s="67" t="s">
        <v>476</v>
      </c>
      <c r="C96" s="98" t="s">
        <v>477</v>
      </c>
      <c r="D96" s="69" t="s">
        <v>520</v>
      </c>
      <c r="E96" s="27" t="s">
        <v>364</v>
      </c>
      <c r="F96" s="37" t="s">
        <v>91</v>
      </c>
      <c r="G96" s="38">
        <v>2025.0</v>
      </c>
      <c r="H96" s="41">
        <v>45947.0</v>
      </c>
      <c r="I96" s="40"/>
      <c r="J96" s="41">
        <v>46312.0</v>
      </c>
      <c r="K96" s="27"/>
      <c r="L96" s="27"/>
      <c r="M96" s="70">
        <v>442.5</v>
      </c>
      <c r="N96" s="70">
        <v>5310.0</v>
      </c>
      <c r="O96" s="70">
        <v>0.0</v>
      </c>
      <c r="P96" s="33" t="s">
        <v>56</v>
      </c>
      <c r="Q96" s="54" t="s">
        <v>57</v>
      </c>
      <c r="R96" s="24">
        <f t="shared" si="1"/>
        <v>304</v>
      </c>
      <c r="S96" s="43"/>
      <c r="T96" s="27" t="s">
        <v>211</v>
      </c>
      <c r="U96" s="27" t="s">
        <v>479</v>
      </c>
      <c r="V96" s="27" t="s">
        <v>41</v>
      </c>
      <c r="W96" s="27" t="s">
        <v>72</v>
      </c>
      <c r="X96" s="27"/>
      <c r="Y96" s="55"/>
      <c r="Z96" s="56"/>
      <c r="AA96" s="56"/>
      <c r="AB96" s="56"/>
      <c r="AC96" s="56"/>
      <c r="AD96" s="56"/>
      <c r="AE96" s="32"/>
    </row>
    <row r="97">
      <c r="A97" s="33" t="s">
        <v>521</v>
      </c>
      <c r="B97" s="128" t="s">
        <v>522</v>
      </c>
      <c r="C97" s="129" t="s">
        <v>523</v>
      </c>
      <c r="D97" s="128" t="s">
        <v>524</v>
      </c>
      <c r="E97" s="27" t="s">
        <v>516</v>
      </c>
      <c r="F97" s="37" t="s">
        <v>97</v>
      </c>
      <c r="G97" s="38">
        <v>2025.0</v>
      </c>
      <c r="H97" s="41">
        <v>45959.0</v>
      </c>
      <c r="I97" s="141"/>
      <c r="J97" s="41">
        <v>46324.0</v>
      </c>
      <c r="K97" s="27" t="s">
        <v>55</v>
      </c>
      <c r="L97" s="27" t="s">
        <v>55</v>
      </c>
      <c r="M97" s="70">
        <v>8113.014</v>
      </c>
      <c r="N97" s="102">
        <v>97356.17</v>
      </c>
      <c r="O97" s="70">
        <v>0.0</v>
      </c>
      <c r="P97" s="33" t="s">
        <v>56</v>
      </c>
      <c r="Q97" s="54" t="s">
        <v>80</v>
      </c>
      <c r="R97" s="24">
        <f t="shared" si="1"/>
        <v>316</v>
      </c>
      <c r="S97" s="78"/>
      <c r="T97" s="130" t="s">
        <v>517</v>
      </c>
      <c r="U97" s="27" t="s">
        <v>518</v>
      </c>
      <c r="V97" s="27" t="s">
        <v>224</v>
      </c>
      <c r="W97" s="27" t="s">
        <v>72</v>
      </c>
      <c r="X97" s="27"/>
      <c r="Y97" s="55"/>
      <c r="Z97" s="56"/>
      <c r="AA97" s="56"/>
      <c r="AB97" s="56"/>
      <c r="AC97" s="56"/>
      <c r="AD97" s="56"/>
      <c r="AE97" s="33"/>
    </row>
    <row r="98">
      <c r="A98" s="33" t="s">
        <v>525</v>
      </c>
      <c r="B98" s="128" t="s">
        <v>526</v>
      </c>
      <c r="C98" s="129" t="s">
        <v>527</v>
      </c>
      <c r="D98" s="128" t="s">
        <v>528</v>
      </c>
      <c r="E98" s="27" t="s">
        <v>105</v>
      </c>
      <c r="F98" s="37" t="s">
        <v>131</v>
      </c>
      <c r="G98" s="38">
        <v>2025.0</v>
      </c>
      <c r="H98" s="41">
        <v>45966.0</v>
      </c>
      <c r="I98" s="141" t="s">
        <v>55</v>
      </c>
      <c r="J98" s="41">
        <v>46331.0</v>
      </c>
      <c r="K98" s="27" t="s">
        <v>55</v>
      </c>
      <c r="L98" s="27" t="s">
        <v>55</v>
      </c>
      <c r="M98" s="74">
        <v>2600.0</v>
      </c>
      <c r="N98" s="102">
        <v>3860.0</v>
      </c>
      <c r="O98" s="70">
        <v>0.0</v>
      </c>
      <c r="P98" s="33" t="s">
        <v>56</v>
      </c>
      <c r="Q98" s="54" t="s">
        <v>57</v>
      </c>
      <c r="R98" s="24">
        <f t="shared" si="1"/>
        <v>323</v>
      </c>
      <c r="S98" s="78"/>
      <c r="T98" s="130" t="s">
        <v>211</v>
      </c>
      <c r="U98" s="27"/>
      <c r="V98" s="27" t="s">
        <v>224</v>
      </c>
      <c r="W98" s="27" t="s">
        <v>72</v>
      </c>
      <c r="X98" s="27"/>
      <c r="Y98" s="55"/>
      <c r="Z98" s="56"/>
      <c r="AA98" s="56"/>
      <c r="AB98" s="56"/>
      <c r="AC98" s="56"/>
      <c r="AD98" s="56"/>
      <c r="AE98" s="33"/>
    </row>
    <row r="99">
      <c r="A99" s="33" t="s">
        <v>529</v>
      </c>
      <c r="B99" s="97" t="s">
        <v>526</v>
      </c>
      <c r="C99" s="98" t="s">
        <v>527</v>
      </c>
      <c r="D99" s="99" t="s">
        <v>528</v>
      </c>
      <c r="E99" s="130" t="s">
        <v>105</v>
      </c>
      <c r="F99" s="142" t="s">
        <v>131</v>
      </c>
      <c r="G99" s="38">
        <v>2025.0</v>
      </c>
      <c r="H99" s="41">
        <v>45966.0</v>
      </c>
      <c r="I99" s="127" t="s">
        <v>55</v>
      </c>
      <c r="J99" s="41">
        <v>46331.0</v>
      </c>
      <c r="K99" s="27" t="s">
        <v>55</v>
      </c>
      <c r="L99" s="27" t="s">
        <v>55</v>
      </c>
      <c r="M99" s="74">
        <v>1260.0</v>
      </c>
      <c r="N99" s="70">
        <v>3860.0</v>
      </c>
      <c r="O99" s="70">
        <v>0.0</v>
      </c>
      <c r="P99" s="57" t="s">
        <v>56</v>
      </c>
      <c r="Q99" s="54" t="s">
        <v>57</v>
      </c>
      <c r="R99" s="24">
        <f t="shared" si="1"/>
        <v>323</v>
      </c>
      <c r="S99" s="43"/>
      <c r="T99" s="27" t="s">
        <v>211</v>
      </c>
      <c r="U99" s="27"/>
      <c r="V99" s="100" t="s">
        <v>224</v>
      </c>
      <c r="W99" s="27" t="s">
        <v>72</v>
      </c>
      <c r="X99" s="27"/>
      <c r="Y99" s="55"/>
      <c r="Z99" s="56"/>
      <c r="AA99" s="56"/>
      <c r="AB99" s="56"/>
      <c r="AC99" s="56"/>
      <c r="AD99" s="56"/>
      <c r="AE99" s="32"/>
    </row>
    <row r="100">
      <c r="A100" s="33" t="s">
        <v>530</v>
      </c>
      <c r="B100" s="13" t="s">
        <v>531</v>
      </c>
      <c r="C100" s="129" t="s">
        <v>532</v>
      </c>
      <c r="D100" s="128" t="s">
        <v>533</v>
      </c>
      <c r="E100" s="130" t="s">
        <v>105</v>
      </c>
      <c r="F100" s="140" t="s">
        <v>468</v>
      </c>
      <c r="G100" s="138">
        <v>2025.0</v>
      </c>
      <c r="H100" s="41">
        <v>45923.0</v>
      </c>
      <c r="I100" s="127"/>
      <c r="J100" s="143">
        <v>46288.0</v>
      </c>
      <c r="K100" s="27"/>
      <c r="L100" s="27"/>
      <c r="M100" s="70"/>
      <c r="N100" s="102">
        <v>1138.25</v>
      </c>
      <c r="O100" s="70">
        <v>0.0</v>
      </c>
      <c r="P100" s="33" t="s">
        <v>56</v>
      </c>
      <c r="Q100" s="33" t="s">
        <v>57</v>
      </c>
      <c r="R100" s="24">
        <f t="shared" si="1"/>
        <v>280</v>
      </c>
      <c r="S100" s="78"/>
      <c r="T100" s="27"/>
      <c r="U100" s="27" t="s">
        <v>138</v>
      </c>
      <c r="V100" s="27" t="s">
        <v>224</v>
      </c>
      <c r="W100" s="27" t="s">
        <v>72</v>
      </c>
      <c r="X100" s="27"/>
      <c r="Y100" s="55"/>
      <c r="Z100" s="56"/>
      <c r="AA100" s="56"/>
      <c r="AB100" s="56"/>
      <c r="AC100" s="56"/>
      <c r="AD100" s="56"/>
      <c r="AE100" s="33"/>
    </row>
    <row r="101">
      <c r="A101" s="144" t="s">
        <v>31</v>
      </c>
      <c r="B101" s="13" t="s">
        <v>32</v>
      </c>
      <c r="C101" s="129" t="s">
        <v>534</v>
      </c>
      <c r="D101" s="99" t="s">
        <v>535</v>
      </c>
      <c r="E101" s="27" t="s">
        <v>496</v>
      </c>
      <c r="F101" s="145"/>
      <c r="G101" s="138">
        <v>2025.0</v>
      </c>
      <c r="H101" s="41"/>
      <c r="I101" s="127"/>
      <c r="J101" s="41"/>
      <c r="K101" s="27"/>
      <c r="L101" s="27"/>
      <c r="M101" s="70"/>
      <c r="N101" s="102">
        <v>326000.0</v>
      </c>
      <c r="O101" s="70">
        <v>326000.0</v>
      </c>
      <c r="P101" s="33" t="s">
        <v>56</v>
      </c>
      <c r="Q101" s="33" t="s">
        <v>38</v>
      </c>
      <c r="R101" s="24" t="str">
        <f t="shared" si="1"/>
        <v>ENCERRADO HÁ 46008 DIAS</v>
      </c>
      <c r="S101" s="78"/>
      <c r="T101" s="27"/>
      <c r="U101" s="27"/>
      <c r="V101" s="27" t="s">
        <v>224</v>
      </c>
      <c r="W101" s="27" t="s">
        <v>72</v>
      </c>
      <c r="X101" s="27"/>
      <c r="Y101" s="55"/>
      <c r="Z101" s="56"/>
      <c r="AA101" s="56"/>
      <c r="AB101" s="56"/>
      <c r="AC101" s="56"/>
      <c r="AD101" s="56"/>
      <c r="AE101" s="33" t="s">
        <v>384</v>
      </c>
    </row>
    <row r="102">
      <c r="A102" s="57" t="s">
        <v>536</v>
      </c>
      <c r="B102" s="97" t="s">
        <v>537</v>
      </c>
      <c r="C102" s="98" t="s">
        <v>538</v>
      </c>
      <c r="D102" s="146" t="s">
        <v>539</v>
      </c>
      <c r="E102" s="27" t="s">
        <v>35</v>
      </c>
      <c r="F102" s="37" t="s">
        <v>540</v>
      </c>
      <c r="G102" s="38">
        <v>2024.0</v>
      </c>
      <c r="H102" s="101">
        <v>45593.0</v>
      </c>
      <c r="I102" s="110"/>
      <c r="J102" s="101">
        <v>45958.0</v>
      </c>
      <c r="K102" s="100"/>
      <c r="L102" s="100"/>
      <c r="M102" s="102"/>
      <c r="N102" s="102">
        <v>20250.0</v>
      </c>
      <c r="O102" s="102"/>
      <c r="P102" s="57" t="s">
        <v>37</v>
      </c>
      <c r="Q102" s="54" t="s">
        <v>57</v>
      </c>
      <c r="R102" s="24" t="str">
        <f t="shared" si="1"/>
        <v>ENCERRADO HÁ 50 DIAS</v>
      </c>
      <c r="S102" s="43" t="s">
        <v>230</v>
      </c>
      <c r="T102" s="100" t="s">
        <v>541</v>
      </c>
      <c r="U102" s="27" t="s">
        <v>541</v>
      </c>
      <c r="V102" s="100" t="s">
        <v>224</v>
      </c>
      <c r="W102" s="27" t="s">
        <v>72</v>
      </c>
      <c r="X102" s="27"/>
      <c r="Y102" s="55"/>
      <c r="Z102" s="56"/>
      <c r="AA102" s="56"/>
      <c r="AB102" s="56"/>
      <c r="AC102" s="56"/>
      <c r="AD102" s="56"/>
      <c r="AE102" s="32"/>
    </row>
    <row r="103">
      <c r="A103" s="127" t="s">
        <v>542</v>
      </c>
      <c r="B103" s="97" t="s">
        <v>543</v>
      </c>
      <c r="C103" s="129" t="s">
        <v>544</v>
      </c>
      <c r="D103" s="128" t="s">
        <v>545</v>
      </c>
      <c r="E103" s="130" t="s">
        <v>52</v>
      </c>
      <c r="F103" s="142"/>
      <c r="G103" s="142"/>
      <c r="H103" s="41"/>
      <c r="I103" s="127"/>
      <c r="J103" s="41"/>
      <c r="K103" s="27"/>
      <c r="L103" s="27"/>
      <c r="M103" s="70"/>
      <c r="N103" s="70">
        <v>144000.0</v>
      </c>
      <c r="O103" s="70"/>
      <c r="P103" s="33"/>
      <c r="Q103" s="54" t="s">
        <v>57</v>
      </c>
      <c r="R103" s="24"/>
      <c r="S103" s="43"/>
      <c r="T103" s="147" t="s">
        <v>41</v>
      </c>
      <c r="U103" s="27" t="s">
        <v>59</v>
      </c>
      <c r="V103" s="100" t="s">
        <v>60</v>
      </c>
      <c r="W103" s="27" t="s">
        <v>72</v>
      </c>
      <c r="X103" s="36"/>
      <c r="Y103" s="105"/>
      <c r="Z103" s="106"/>
      <c r="AA103" s="106"/>
      <c r="AB103" s="106"/>
      <c r="AC103" s="106"/>
      <c r="AD103" s="106"/>
      <c r="AE103" s="32"/>
    </row>
    <row r="104">
      <c r="A104" s="127" t="s">
        <v>546</v>
      </c>
      <c r="B104" s="97" t="s">
        <v>543</v>
      </c>
      <c r="C104" s="129" t="s">
        <v>544</v>
      </c>
      <c r="D104" s="128" t="s">
        <v>545</v>
      </c>
      <c r="E104" s="130" t="s">
        <v>52</v>
      </c>
      <c r="F104" s="142"/>
      <c r="G104" s="142"/>
      <c r="H104" s="41"/>
      <c r="I104" s="127"/>
      <c r="J104" s="41"/>
      <c r="K104" s="27"/>
      <c r="L104" s="27"/>
      <c r="M104" s="70"/>
      <c r="N104" s="70">
        <v>8400.0</v>
      </c>
      <c r="O104" s="70"/>
      <c r="P104" s="33"/>
      <c r="Q104" s="54" t="s">
        <v>57</v>
      </c>
      <c r="R104" s="24"/>
      <c r="S104" s="43"/>
      <c r="T104" s="147" t="s">
        <v>41</v>
      </c>
      <c r="U104" s="27"/>
      <c r="V104" s="100" t="s">
        <v>60</v>
      </c>
      <c r="W104" s="27" t="s">
        <v>72</v>
      </c>
      <c r="X104" s="36"/>
      <c r="Y104" s="105"/>
      <c r="Z104" s="106"/>
      <c r="AA104" s="106"/>
      <c r="AB104" s="106"/>
      <c r="AC104" s="106"/>
      <c r="AD104" s="106"/>
      <c r="AE104" s="32"/>
    </row>
    <row r="105">
      <c r="A105" s="127" t="s">
        <v>547</v>
      </c>
      <c r="B105" s="97" t="s">
        <v>543</v>
      </c>
      <c r="C105" s="129" t="s">
        <v>544</v>
      </c>
      <c r="D105" s="128" t="s">
        <v>545</v>
      </c>
      <c r="E105" s="130" t="s">
        <v>52</v>
      </c>
      <c r="F105" s="142"/>
      <c r="G105" s="142"/>
      <c r="H105" s="41"/>
      <c r="I105" s="127"/>
      <c r="J105" s="41"/>
      <c r="K105" s="27"/>
      <c r="L105" s="27"/>
      <c r="M105" s="70"/>
      <c r="N105" s="70">
        <v>6000.0</v>
      </c>
      <c r="O105" s="70"/>
      <c r="P105" s="33"/>
      <c r="Q105" s="54" t="s">
        <v>57</v>
      </c>
      <c r="R105" s="24"/>
      <c r="S105" s="43"/>
      <c r="T105" s="147" t="s">
        <v>41</v>
      </c>
      <c r="U105" s="27"/>
      <c r="V105" s="100" t="s">
        <v>60</v>
      </c>
      <c r="W105" s="27" t="s">
        <v>72</v>
      </c>
      <c r="X105" s="36"/>
      <c r="Y105" s="105"/>
      <c r="Z105" s="106"/>
      <c r="AA105" s="106"/>
      <c r="AB105" s="106"/>
      <c r="AC105" s="106"/>
      <c r="AD105" s="106"/>
      <c r="AE105" s="32"/>
    </row>
    <row r="106">
      <c r="A106" s="127" t="s">
        <v>548</v>
      </c>
      <c r="B106" s="97" t="s">
        <v>543</v>
      </c>
      <c r="C106" s="129" t="s">
        <v>544</v>
      </c>
      <c r="D106" s="128" t="s">
        <v>545</v>
      </c>
      <c r="E106" s="130" t="s">
        <v>52</v>
      </c>
      <c r="F106" s="142"/>
      <c r="G106" s="142"/>
      <c r="H106" s="41"/>
      <c r="I106" s="127"/>
      <c r="J106" s="41"/>
      <c r="K106" s="27"/>
      <c r="L106" s="27"/>
      <c r="M106" s="70"/>
      <c r="N106" s="70">
        <v>144000.0</v>
      </c>
      <c r="O106" s="70"/>
      <c r="P106" s="33"/>
      <c r="Q106" s="54" t="s">
        <v>57</v>
      </c>
      <c r="R106" s="24"/>
      <c r="S106" s="43"/>
      <c r="T106" s="147" t="s">
        <v>41</v>
      </c>
      <c r="U106" s="27"/>
      <c r="V106" s="100" t="s">
        <v>60</v>
      </c>
      <c r="W106" s="27" t="s">
        <v>72</v>
      </c>
      <c r="X106" s="36"/>
      <c r="Y106" s="105"/>
      <c r="Z106" s="106"/>
      <c r="AA106" s="106"/>
      <c r="AB106" s="106"/>
      <c r="AC106" s="106"/>
      <c r="AD106" s="106"/>
      <c r="AE106" s="32"/>
    </row>
    <row r="107">
      <c r="A107" s="33" t="s">
        <v>549</v>
      </c>
      <c r="B107" s="128" t="s">
        <v>550</v>
      </c>
      <c r="C107" s="129" t="s">
        <v>551</v>
      </c>
      <c r="D107" s="148"/>
      <c r="E107" s="127"/>
      <c r="F107" s="142"/>
      <c r="G107" s="38">
        <v>2025.0</v>
      </c>
      <c r="H107" s="41"/>
      <c r="I107" s="127"/>
      <c r="J107" s="41"/>
      <c r="K107" s="27"/>
      <c r="L107" s="27"/>
      <c r="M107" s="70"/>
      <c r="N107" s="70"/>
      <c r="O107" s="70"/>
      <c r="P107" s="33"/>
      <c r="Q107" s="33" t="s">
        <v>57</v>
      </c>
      <c r="R107" s="24" t="str">
        <f t="shared" ref="R107:R124" si="10">IF(J107&lt;TODAY(), "ENCERRADO HÁ " &amp; TODAY()-J107 &amp; " DIAS", J107-TODAY())</f>
        <v>ENCERRADO HÁ 46008 DIAS</v>
      </c>
      <c r="S107" s="78"/>
      <c r="T107" s="130" t="s">
        <v>222</v>
      </c>
      <c r="U107" s="27" t="s">
        <v>59</v>
      </c>
      <c r="V107" s="27" t="s">
        <v>224</v>
      </c>
      <c r="W107" s="27" t="s">
        <v>72</v>
      </c>
      <c r="X107" s="27"/>
      <c r="Y107" s="55"/>
      <c r="Z107" s="56"/>
      <c r="AA107" s="56"/>
      <c r="AB107" s="56"/>
      <c r="AC107" s="56"/>
      <c r="AD107" s="56"/>
      <c r="AE107" s="33"/>
    </row>
    <row r="108">
      <c r="A108" s="33" t="s">
        <v>552</v>
      </c>
      <c r="B108" s="128" t="s">
        <v>550</v>
      </c>
      <c r="C108" s="129" t="s">
        <v>553</v>
      </c>
      <c r="D108" s="148"/>
      <c r="E108" s="127"/>
      <c r="F108" s="142"/>
      <c r="G108" s="38"/>
      <c r="H108" s="41"/>
      <c r="I108" s="127"/>
      <c r="J108" s="41"/>
      <c r="K108" s="27"/>
      <c r="L108" s="27"/>
      <c r="M108" s="70"/>
      <c r="N108" s="70"/>
      <c r="O108" s="70"/>
      <c r="P108" s="33"/>
      <c r="Q108" s="33" t="s">
        <v>57</v>
      </c>
      <c r="R108" s="24" t="str">
        <f t="shared" si="10"/>
        <v>ENCERRADO HÁ 46008 DIAS</v>
      </c>
      <c r="S108" s="78"/>
      <c r="T108" s="27" t="s">
        <v>222</v>
      </c>
      <c r="U108" s="27" t="s">
        <v>59</v>
      </c>
      <c r="V108" s="27" t="s">
        <v>224</v>
      </c>
      <c r="W108" s="27" t="s">
        <v>72</v>
      </c>
      <c r="X108" s="27"/>
      <c r="Y108" s="55"/>
      <c r="Z108" s="56"/>
      <c r="AA108" s="56"/>
      <c r="AB108" s="56"/>
      <c r="AC108" s="56"/>
      <c r="AD108" s="56"/>
      <c r="AE108" s="33"/>
    </row>
    <row r="109">
      <c r="A109" s="149" t="s">
        <v>554</v>
      </c>
      <c r="B109" s="97" t="s">
        <v>555</v>
      </c>
      <c r="C109" s="98" t="s">
        <v>556</v>
      </c>
      <c r="D109" s="99" t="s">
        <v>557</v>
      </c>
      <c r="E109" s="100" t="s">
        <v>35</v>
      </c>
      <c r="F109" s="37" t="s">
        <v>558</v>
      </c>
      <c r="G109" s="38">
        <v>2024.0</v>
      </c>
      <c r="H109" s="109">
        <v>45623.0</v>
      </c>
      <c r="I109" s="110"/>
      <c r="J109" s="101">
        <v>45988.0</v>
      </c>
      <c r="K109" s="100"/>
      <c r="L109" s="100"/>
      <c r="M109" s="102"/>
      <c r="N109" s="103">
        <v>27536.0</v>
      </c>
      <c r="O109" s="150">
        <v>15612.0</v>
      </c>
      <c r="P109" s="57" t="s">
        <v>56</v>
      </c>
      <c r="Q109" s="54" t="s">
        <v>57</v>
      </c>
      <c r="R109" s="24" t="str">
        <f t="shared" si="10"/>
        <v>ENCERRADO HÁ 20 DIAS</v>
      </c>
      <c r="S109" s="43"/>
      <c r="T109" s="100" t="s">
        <v>541</v>
      </c>
      <c r="U109" s="27" t="s">
        <v>541</v>
      </c>
      <c r="V109" s="100" t="s">
        <v>224</v>
      </c>
      <c r="W109" s="27" t="s">
        <v>72</v>
      </c>
      <c r="X109" s="27"/>
      <c r="Y109" s="55"/>
      <c r="Z109" s="56"/>
      <c r="AA109" s="56"/>
      <c r="AB109" s="56"/>
      <c r="AC109" s="56"/>
      <c r="AD109" s="56"/>
      <c r="AE109" s="32"/>
    </row>
    <row r="110">
      <c r="A110" s="144" t="s">
        <v>559</v>
      </c>
      <c r="B110" s="97" t="s">
        <v>560</v>
      </c>
      <c r="C110" s="98" t="s">
        <v>561</v>
      </c>
      <c r="D110" s="99" t="s">
        <v>452</v>
      </c>
      <c r="E110" s="100" t="s">
        <v>105</v>
      </c>
      <c r="F110" s="151"/>
      <c r="G110" s="38">
        <v>2025.0</v>
      </c>
      <c r="H110" s="152"/>
      <c r="I110" s="110" t="s">
        <v>55</v>
      </c>
      <c r="J110" s="153"/>
      <c r="K110" s="100" t="s">
        <v>55</v>
      </c>
      <c r="L110" s="100" t="s">
        <v>55</v>
      </c>
      <c r="M110" s="102">
        <v>165.0</v>
      </c>
      <c r="N110" s="102">
        <v>1980.0</v>
      </c>
      <c r="O110" s="102">
        <v>0.0</v>
      </c>
      <c r="P110" s="57"/>
      <c r="Q110" s="66" t="s">
        <v>57</v>
      </c>
      <c r="R110" s="24" t="str">
        <f t="shared" si="10"/>
        <v>ENCERRADO HÁ 46008 DIAS</v>
      </c>
      <c r="S110" s="43"/>
      <c r="T110" s="100" t="s">
        <v>41</v>
      </c>
      <c r="U110" s="27" t="s">
        <v>93</v>
      </c>
      <c r="V110" s="100" t="s">
        <v>60</v>
      </c>
      <c r="W110" s="27" t="s">
        <v>72</v>
      </c>
      <c r="X110" s="36"/>
      <c r="Y110" s="105"/>
      <c r="Z110" s="106"/>
      <c r="AA110" s="106"/>
      <c r="AB110" s="106"/>
      <c r="AC110" s="106"/>
      <c r="AD110" s="106"/>
      <c r="AE110" s="32"/>
    </row>
    <row r="111">
      <c r="A111" s="33" t="s">
        <v>562</v>
      </c>
      <c r="B111" s="128" t="s">
        <v>563</v>
      </c>
      <c r="C111" s="129" t="s">
        <v>564</v>
      </c>
      <c r="D111" s="99" t="s">
        <v>565</v>
      </c>
      <c r="E111" s="27" t="s">
        <v>35</v>
      </c>
      <c r="F111" s="38">
        <v>24.0</v>
      </c>
      <c r="G111" s="38">
        <v>2025.0</v>
      </c>
      <c r="H111" s="41">
        <v>45968.0</v>
      </c>
      <c r="I111" s="127"/>
      <c r="J111" s="41">
        <f>H111+360</f>
        <v>46328</v>
      </c>
      <c r="K111" s="27"/>
      <c r="L111" s="27"/>
      <c r="M111" s="70"/>
      <c r="N111" s="102">
        <v>430904.88</v>
      </c>
      <c r="O111" s="70"/>
      <c r="P111" s="33" t="s">
        <v>56</v>
      </c>
      <c r="Q111" s="33" t="s">
        <v>57</v>
      </c>
      <c r="R111" s="24">
        <f t="shared" si="10"/>
        <v>320</v>
      </c>
      <c r="S111" s="78"/>
      <c r="T111" s="27" t="s">
        <v>382</v>
      </c>
      <c r="U111" s="27" t="s">
        <v>408</v>
      </c>
      <c r="V111" s="27" t="s">
        <v>161</v>
      </c>
      <c r="W111" s="27" t="s">
        <v>72</v>
      </c>
      <c r="X111" s="27"/>
      <c r="Y111" s="55"/>
      <c r="Z111" s="56"/>
      <c r="AA111" s="56"/>
      <c r="AB111" s="56"/>
      <c r="AC111" s="56"/>
      <c r="AD111" s="56"/>
      <c r="AE111" s="33"/>
    </row>
    <row r="112" ht="51.75" customHeight="1">
      <c r="A112" s="33" t="s">
        <v>566</v>
      </c>
      <c r="B112" s="128" t="s">
        <v>567</v>
      </c>
      <c r="C112" s="129" t="s">
        <v>568</v>
      </c>
      <c r="D112" s="148"/>
      <c r="E112" s="27" t="s">
        <v>569</v>
      </c>
      <c r="F112" s="154"/>
      <c r="G112" s="155">
        <v>2025.0</v>
      </c>
      <c r="H112" s="41"/>
      <c r="I112" s="127"/>
      <c r="J112" s="41"/>
      <c r="K112" s="27"/>
      <c r="L112" s="27"/>
      <c r="M112" s="70"/>
      <c r="N112" s="102">
        <v>291951.15</v>
      </c>
      <c r="O112" s="70"/>
      <c r="P112" s="33"/>
      <c r="Q112" s="125" t="s">
        <v>38</v>
      </c>
      <c r="R112" s="24" t="str">
        <f t="shared" si="10"/>
        <v>ENCERRADO HÁ 46008 DIAS</v>
      </c>
      <c r="S112" s="78"/>
      <c r="T112" s="27"/>
      <c r="U112" s="27"/>
      <c r="V112" s="156" t="s">
        <v>224</v>
      </c>
      <c r="W112" s="27" t="s">
        <v>72</v>
      </c>
      <c r="X112" s="27"/>
      <c r="Y112" s="55"/>
      <c r="Z112" s="56"/>
      <c r="AA112" s="56"/>
      <c r="AB112" s="56"/>
      <c r="AC112" s="56"/>
      <c r="AD112" s="56"/>
      <c r="AE112" s="33"/>
    </row>
    <row r="113">
      <c r="A113" s="33" t="s">
        <v>570</v>
      </c>
      <c r="B113" s="128" t="s">
        <v>522</v>
      </c>
      <c r="C113" s="129" t="s">
        <v>571</v>
      </c>
      <c r="D113" s="99" t="s">
        <v>572</v>
      </c>
      <c r="E113" s="27" t="s">
        <v>496</v>
      </c>
      <c r="F113" s="38">
        <v>26.0</v>
      </c>
      <c r="G113" s="38">
        <v>2025.0</v>
      </c>
      <c r="H113" s="41">
        <v>45973.0</v>
      </c>
      <c r="I113" s="127"/>
      <c r="J113" s="41">
        <v>46338.0</v>
      </c>
      <c r="K113" s="27"/>
      <c r="L113" s="27"/>
      <c r="M113" s="70"/>
      <c r="N113" s="102">
        <v>52600.0</v>
      </c>
      <c r="O113" s="70"/>
      <c r="P113" s="33" t="s">
        <v>56</v>
      </c>
      <c r="Q113" s="33" t="s">
        <v>38</v>
      </c>
      <c r="R113" s="24">
        <f t="shared" si="10"/>
        <v>330</v>
      </c>
      <c r="S113" s="78"/>
      <c r="T113" s="27" t="s">
        <v>389</v>
      </c>
      <c r="U113" s="27" t="s">
        <v>39</v>
      </c>
      <c r="V113" s="27" t="s">
        <v>224</v>
      </c>
      <c r="W113" s="27" t="s">
        <v>72</v>
      </c>
      <c r="X113" s="27"/>
      <c r="Y113" s="55"/>
      <c r="Z113" s="56"/>
      <c r="AA113" s="56"/>
      <c r="AB113" s="56"/>
      <c r="AC113" s="56"/>
      <c r="AD113" s="56"/>
      <c r="AE113" s="33"/>
    </row>
    <row r="114">
      <c r="A114" s="125" t="s">
        <v>573</v>
      </c>
      <c r="B114" s="128" t="s">
        <v>574</v>
      </c>
      <c r="C114" s="129" t="s">
        <v>575</v>
      </c>
      <c r="D114" s="99" t="s">
        <v>572</v>
      </c>
      <c r="E114" s="27" t="s">
        <v>496</v>
      </c>
      <c r="F114" s="38">
        <v>25.0</v>
      </c>
      <c r="G114" s="38">
        <v>2025.0</v>
      </c>
      <c r="H114" s="41">
        <v>45973.0</v>
      </c>
      <c r="I114" s="127"/>
      <c r="J114" s="41">
        <v>46338.0</v>
      </c>
      <c r="K114" s="27"/>
      <c r="L114" s="27"/>
      <c r="M114" s="70"/>
      <c r="N114" s="102">
        <v>540000.0</v>
      </c>
      <c r="O114" s="70"/>
      <c r="P114" s="33" t="s">
        <v>56</v>
      </c>
      <c r="Q114" s="33" t="s">
        <v>38</v>
      </c>
      <c r="R114" s="24">
        <f t="shared" si="10"/>
        <v>330</v>
      </c>
      <c r="S114" s="78"/>
      <c r="T114" s="27" t="s">
        <v>389</v>
      </c>
      <c r="U114" s="27" t="s">
        <v>39</v>
      </c>
      <c r="V114" s="27" t="s">
        <v>224</v>
      </c>
      <c r="W114" s="27" t="s">
        <v>72</v>
      </c>
      <c r="X114" s="27"/>
      <c r="Y114" s="55"/>
      <c r="Z114" s="56"/>
      <c r="AA114" s="56"/>
      <c r="AB114" s="56"/>
      <c r="AC114" s="56"/>
      <c r="AD114" s="56"/>
      <c r="AE114" s="33"/>
    </row>
    <row r="115">
      <c r="A115" s="33" t="s">
        <v>576</v>
      </c>
      <c r="B115" s="128" t="s">
        <v>522</v>
      </c>
      <c r="C115" s="129" t="s">
        <v>577</v>
      </c>
      <c r="D115" s="99" t="s">
        <v>578</v>
      </c>
      <c r="E115" s="27" t="s">
        <v>579</v>
      </c>
      <c r="F115" s="38">
        <v>27.0</v>
      </c>
      <c r="G115" s="38">
        <v>2025.0</v>
      </c>
      <c r="H115" s="41">
        <v>45974.0</v>
      </c>
      <c r="I115" s="127"/>
      <c r="J115" s="41">
        <v>46339.0</v>
      </c>
      <c r="K115" s="27"/>
      <c r="L115" s="27"/>
      <c r="M115" s="70"/>
      <c r="N115" s="102">
        <v>41194.32</v>
      </c>
      <c r="O115" s="70"/>
      <c r="P115" s="33" t="s">
        <v>56</v>
      </c>
      <c r="Q115" s="33" t="s">
        <v>57</v>
      </c>
      <c r="R115" s="24">
        <f t="shared" si="10"/>
        <v>331</v>
      </c>
      <c r="S115" s="78"/>
      <c r="T115" s="27" t="s">
        <v>517</v>
      </c>
      <c r="U115" s="27" t="s">
        <v>518</v>
      </c>
      <c r="V115" s="27" t="s">
        <v>224</v>
      </c>
      <c r="W115" s="27" t="s">
        <v>72</v>
      </c>
      <c r="X115" s="27"/>
      <c r="Y115" s="55"/>
      <c r="Z115" s="56"/>
      <c r="AA115" s="56"/>
      <c r="AB115" s="56"/>
      <c r="AC115" s="56"/>
      <c r="AD115" s="56"/>
      <c r="AE115" s="33"/>
    </row>
    <row r="116">
      <c r="A116" s="33" t="s">
        <v>580</v>
      </c>
      <c r="B116" s="13" t="s">
        <v>581</v>
      </c>
      <c r="C116" s="129" t="s">
        <v>582</v>
      </c>
      <c r="D116" s="128" t="s">
        <v>583</v>
      </c>
      <c r="E116" s="130" t="s">
        <v>52</v>
      </c>
      <c r="F116" s="154"/>
      <c r="G116" s="155">
        <v>2025.0</v>
      </c>
      <c r="H116" s="41"/>
      <c r="I116" s="127"/>
      <c r="J116" s="41"/>
      <c r="K116" s="27"/>
      <c r="L116" s="27"/>
      <c r="M116" s="70"/>
      <c r="N116" s="102">
        <v>18710.0</v>
      </c>
      <c r="O116" s="70"/>
      <c r="P116" s="33"/>
      <c r="Q116" s="33" t="s">
        <v>57</v>
      </c>
      <c r="R116" s="24" t="str">
        <f t="shared" si="10"/>
        <v>ENCERRADO HÁ 46008 DIAS</v>
      </c>
      <c r="S116" s="78"/>
      <c r="T116" s="27"/>
      <c r="U116" s="27"/>
      <c r="V116" s="27" t="s">
        <v>224</v>
      </c>
      <c r="W116" s="27" t="s">
        <v>72</v>
      </c>
      <c r="X116" s="27"/>
      <c r="Y116" s="55"/>
      <c r="Z116" s="56"/>
      <c r="AA116" s="56"/>
      <c r="AB116" s="56"/>
      <c r="AC116" s="56"/>
      <c r="AD116" s="56"/>
      <c r="AE116" s="33"/>
    </row>
    <row r="117">
      <c r="A117" s="33" t="s">
        <v>584</v>
      </c>
      <c r="B117" s="13" t="s">
        <v>585</v>
      </c>
      <c r="C117" s="129" t="s">
        <v>586</v>
      </c>
      <c r="D117" s="128" t="s">
        <v>587</v>
      </c>
      <c r="E117" s="27" t="s">
        <v>496</v>
      </c>
      <c r="F117" s="145"/>
      <c r="G117" s="138">
        <v>2025.0</v>
      </c>
      <c r="H117" s="41"/>
      <c r="I117" s="127"/>
      <c r="J117" s="41"/>
      <c r="K117" s="27"/>
      <c r="L117" s="27"/>
      <c r="M117" s="70"/>
      <c r="N117" s="102">
        <v>89500.0</v>
      </c>
      <c r="O117" s="70"/>
      <c r="P117" s="33"/>
      <c r="Q117" s="33" t="s">
        <v>38</v>
      </c>
      <c r="R117" s="24" t="str">
        <f t="shared" si="10"/>
        <v>ENCERRADO HÁ 46008 DIAS</v>
      </c>
      <c r="S117" s="78"/>
      <c r="T117" s="27"/>
      <c r="U117" s="27" t="s">
        <v>588</v>
      </c>
      <c r="V117" s="27" t="s">
        <v>161</v>
      </c>
      <c r="W117" s="27" t="s">
        <v>72</v>
      </c>
      <c r="X117" s="27"/>
      <c r="Y117" s="55"/>
      <c r="Z117" s="56"/>
      <c r="AA117" s="56"/>
      <c r="AB117" s="56"/>
      <c r="AC117" s="56"/>
      <c r="AD117" s="56"/>
      <c r="AE117" s="33"/>
    </row>
    <row r="118">
      <c r="A118" s="33" t="s">
        <v>589</v>
      </c>
      <c r="B118" s="13" t="s">
        <v>590</v>
      </c>
      <c r="C118" s="129" t="s">
        <v>591</v>
      </c>
      <c r="D118" s="128" t="s">
        <v>592</v>
      </c>
      <c r="E118" s="130" t="s">
        <v>52</v>
      </c>
      <c r="F118" s="38">
        <v>29.0</v>
      </c>
      <c r="G118" s="38">
        <v>2025.0</v>
      </c>
      <c r="H118" s="41">
        <v>45978.0</v>
      </c>
      <c r="I118" s="127"/>
      <c r="J118" s="143">
        <v>46343.0</v>
      </c>
      <c r="K118" s="27"/>
      <c r="L118" s="27"/>
      <c r="M118" s="70"/>
      <c r="N118" s="70">
        <v>45873.21</v>
      </c>
      <c r="O118" s="70"/>
      <c r="P118" s="33"/>
      <c r="Q118" s="33" t="s">
        <v>57</v>
      </c>
      <c r="R118" s="24">
        <f t="shared" si="10"/>
        <v>335</v>
      </c>
      <c r="S118" s="78"/>
      <c r="T118" s="130"/>
      <c r="U118" s="27" t="s">
        <v>593</v>
      </c>
      <c r="V118" s="27" t="s">
        <v>224</v>
      </c>
      <c r="W118" s="27" t="s">
        <v>72</v>
      </c>
      <c r="X118" s="27"/>
      <c r="Y118" s="55"/>
      <c r="Z118" s="56"/>
      <c r="AA118" s="56"/>
      <c r="AB118" s="56"/>
      <c r="AC118" s="56"/>
      <c r="AD118" s="56"/>
      <c r="AE118" s="33"/>
    </row>
    <row r="119">
      <c r="A119" s="157" t="s">
        <v>594</v>
      </c>
      <c r="B119" s="13" t="s">
        <v>156</v>
      </c>
      <c r="C119" s="129" t="s">
        <v>595</v>
      </c>
      <c r="D119" s="128" t="s">
        <v>596</v>
      </c>
      <c r="E119" s="27" t="s">
        <v>35</v>
      </c>
      <c r="F119" s="154"/>
      <c r="G119" s="138">
        <v>2025.0</v>
      </c>
      <c r="H119" s="41"/>
      <c r="I119" s="127"/>
      <c r="J119" s="41"/>
      <c r="K119" s="27"/>
      <c r="L119" s="27"/>
      <c r="M119" s="70">
        <v>5926.21</v>
      </c>
      <c r="N119" s="70">
        <v>71114.52</v>
      </c>
      <c r="O119" s="70"/>
      <c r="P119" s="33"/>
      <c r="Q119" s="33" t="s">
        <v>80</v>
      </c>
      <c r="R119" s="24" t="str">
        <f t="shared" si="10"/>
        <v>ENCERRADO HÁ 46008 DIAS</v>
      </c>
      <c r="S119" s="78"/>
      <c r="T119" s="130"/>
      <c r="U119" s="27" t="s">
        <v>518</v>
      </c>
      <c r="V119" s="27" t="s">
        <v>41</v>
      </c>
      <c r="W119" s="27" t="s">
        <v>72</v>
      </c>
      <c r="X119" s="27"/>
      <c r="Y119" s="55"/>
      <c r="Z119" s="56"/>
      <c r="AA119" s="56"/>
      <c r="AB119" s="56"/>
      <c r="AC119" s="56"/>
      <c r="AD119" s="56"/>
      <c r="AE119" s="33"/>
    </row>
    <row r="120">
      <c r="A120" s="33" t="s">
        <v>597</v>
      </c>
      <c r="B120" s="69" t="s">
        <v>598</v>
      </c>
      <c r="C120" s="68" t="s">
        <v>599</v>
      </c>
      <c r="D120" s="158" t="s">
        <v>600</v>
      </c>
      <c r="E120" s="27" t="s">
        <v>35</v>
      </c>
      <c r="F120" s="154"/>
      <c r="G120" s="138">
        <v>2025.0</v>
      </c>
      <c r="H120" s="41"/>
      <c r="I120" s="27"/>
      <c r="J120" s="41"/>
      <c r="K120" s="27"/>
      <c r="L120" s="27"/>
      <c r="M120" s="70"/>
      <c r="N120" s="70">
        <v>123900.0</v>
      </c>
      <c r="O120" s="70"/>
      <c r="P120" s="33"/>
      <c r="Q120" s="33" t="s">
        <v>38</v>
      </c>
      <c r="R120" s="159" t="str">
        <f t="shared" si="10"/>
        <v>ENCERRADO HÁ 46008 DIAS</v>
      </c>
      <c r="S120" s="78"/>
      <c r="T120" s="130"/>
      <c r="U120" s="27" t="s">
        <v>39</v>
      </c>
      <c r="V120" s="27" t="s">
        <v>224</v>
      </c>
      <c r="W120" s="27" t="s">
        <v>72</v>
      </c>
      <c r="X120" s="27"/>
      <c r="Y120" s="55"/>
      <c r="Z120" s="56"/>
      <c r="AA120" s="56"/>
      <c r="AB120" s="56"/>
      <c r="AC120" s="56"/>
      <c r="AD120" s="56"/>
      <c r="AE120" s="33"/>
    </row>
    <row r="121" ht="105.0" customHeight="1">
      <c r="A121" s="149" t="s">
        <v>601</v>
      </c>
      <c r="B121" s="69" t="s">
        <v>602</v>
      </c>
      <c r="C121" s="68" t="s">
        <v>603</v>
      </c>
      <c r="D121" s="158" t="s">
        <v>604</v>
      </c>
      <c r="E121" s="130" t="s">
        <v>52</v>
      </c>
      <c r="F121" s="154"/>
      <c r="G121" s="138">
        <v>2025.0</v>
      </c>
      <c r="H121" s="41"/>
      <c r="I121" s="127"/>
      <c r="J121" s="41"/>
      <c r="K121" s="27"/>
      <c r="L121" s="27"/>
      <c r="M121" s="70"/>
      <c r="N121" s="70">
        <v>1520000.0</v>
      </c>
      <c r="O121" s="70"/>
      <c r="P121" s="33"/>
      <c r="Q121" s="33" t="s">
        <v>57</v>
      </c>
      <c r="R121" s="159" t="str">
        <f t="shared" si="10"/>
        <v>ENCERRADO HÁ 46008 DIAS</v>
      </c>
      <c r="S121" s="78"/>
      <c r="T121" s="130"/>
      <c r="U121" s="27"/>
      <c r="V121" s="127"/>
      <c r="W121" s="27" t="s">
        <v>72</v>
      </c>
      <c r="X121" s="27"/>
      <c r="Y121" s="55"/>
      <c r="Z121" s="56"/>
      <c r="AA121" s="56"/>
      <c r="AB121" s="56"/>
      <c r="AC121" s="56"/>
      <c r="AD121" s="56"/>
      <c r="AE121" s="33"/>
    </row>
    <row r="122">
      <c r="A122" s="157" t="s">
        <v>306</v>
      </c>
      <c r="B122" s="69" t="s">
        <v>307</v>
      </c>
      <c r="C122" s="68" t="s">
        <v>605</v>
      </c>
      <c r="D122" s="158" t="s">
        <v>606</v>
      </c>
      <c r="E122" s="27" t="s">
        <v>52</v>
      </c>
      <c r="F122" s="160"/>
      <c r="G122" s="138">
        <v>2025.0</v>
      </c>
      <c r="H122" s="41"/>
      <c r="I122" s="27"/>
      <c r="J122" s="41"/>
      <c r="K122" s="27"/>
      <c r="L122" s="27"/>
      <c r="M122" s="70"/>
      <c r="N122" s="70">
        <v>453222.53</v>
      </c>
      <c r="O122" s="70"/>
      <c r="P122" s="33"/>
      <c r="Q122" s="33" t="s">
        <v>57</v>
      </c>
      <c r="R122" s="159" t="str">
        <f t="shared" si="10"/>
        <v>ENCERRADO HÁ 46008 DIAS</v>
      </c>
      <c r="S122" s="78"/>
      <c r="T122" s="130" t="s">
        <v>289</v>
      </c>
      <c r="U122" s="27"/>
      <c r="V122" s="27" t="s">
        <v>41</v>
      </c>
      <c r="W122" s="27" t="s">
        <v>72</v>
      </c>
      <c r="X122" s="27"/>
      <c r="Y122" s="55"/>
      <c r="Z122" s="56"/>
      <c r="AA122" s="56"/>
      <c r="AB122" s="56"/>
      <c r="AC122" s="56"/>
      <c r="AD122" s="56"/>
      <c r="AE122" s="33"/>
    </row>
    <row r="123">
      <c r="A123" s="149" t="s">
        <v>607</v>
      </c>
      <c r="B123" s="69"/>
      <c r="C123" s="68"/>
      <c r="D123" s="68"/>
      <c r="E123" s="27"/>
      <c r="F123" s="160"/>
      <c r="G123" s="160"/>
      <c r="H123" s="41"/>
      <c r="I123" s="27"/>
      <c r="J123" s="41"/>
      <c r="K123" s="27"/>
      <c r="L123" s="27"/>
      <c r="M123" s="70"/>
      <c r="N123" s="70"/>
      <c r="O123" s="70"/>
      <c r="P123" s="33"/>
      <c r="Q123" s="33" t="s">
        <v>57</v>
      </c>
      <c r="R123" s="159" t="str">
        <f t="shared" si="10"/>
        <v>ENCERRADO HÁ 46008 DIAS</v>
      </c>
      <c r="S123" s="78"/>
      <c r="T123" s="130"/>
      <c r="U123" s="27"/>
      <c r="V123" s="27" t="s">
        <v>41</v>
      </c>
      <c r="W123" s="27" t="s">
        <v>72</v>
      </c>
      <c r="X123" s="27"/>
      <c r="Y123" s="55"/>
      <c r="Z123" s="56"/>
      <c r="AA123" s="56"/>
      <c r="AB123" s="56"/>
      <c r="AC123" s="56"/>
      <c r="AD123" s="56"/>
      <c r="AE123" s="33"/>
    </row>
    <row r="124">
      <c r="A124" s="33" t="s">
        <v>608</v>
      </c>
      <c r="B124" s="69" t="s">
        <v>574</v>
      </c>
      <c r="C124" s="68" t="s">
        <v>609</v>
      </c>
      <c r="D124" s="158" t="s">
        <v>610</v>
      </c>
      <c r="E124" s="27" t="s">
        <v>611</v>
      </c>
      <c r="F124" s="160"/>
      <c r="G124" s="138">
        <v>2025.0</v>
      </c>
      <c r="H124" s="41"/>
      <c r="I124" s="27"/>
      <c r="J124" s="41"/>
      <c r="K124" s="27"/>
      <c r="L124" s="27"/>
      <c r="M124" s="70"/>
      <c r="N124" s="70">
        <v>540000.0</v>
      </c>
      <c r="O124" s="70"/>
      <c r="P124" s="33"/>
      <c r="Q124" s="33" t="s">
        <v>38</v>
      </c>
      <c r="R124" s="159" t="str">
        <f t="shared" si="10"/>
        <v>ENCERRADO HÁ 46008 DIAS</v>
      </c>
      <c r="S124" s="78"/>
      <c r="T124" s="130"/>
      <c r="U124" s="27"/>
      <c r="V124" s="27" t="s">
        <v>224</v>
      </c>
      <c r="W124" s="27" t="s">
        <v>72</v>
      </c>
      <c r="X124" s="27"/>
      <c r="Y124" s="55"/>
      <c r="Z124" s="56"/>
      <c r="AA124" s="56"/>
      <c r="AB124" s="56"/>
      <c r="AC124" s="56"/>
      <c r="AD124" s="56"/>
      <c r="AE124" s="33"/>
    </row>
  </sheetData>
  <conditionalFormatting sqref="R2:R124">
    <cfRule type="cellIs" dxfId="0" priority="1" operator="greaterThanOrEqual">
      <formula>121</formula>
    </cfRule>
  </conditionalFormatting>
  <conditionalFormatting sqref="R2:R124">
    <cfRule type="cellIs" dxfId="1" priority="2" operator="between">
      <formula>91</formula>
      <formula>120</formula>
    </cfRule>
  </conditionalFormatting>
  <conditionalFormatting sqref="R2:R124">
    <cfRule type="cellIs" dxfId="2" priority="3" operator="between">
      <formula>61</formula>
      <formula>90</formula>
    </cfRule>
  </conditionalFormatting>
  <conditionalFormatting sqref="R2:R124">
    <cfRule type="cellIs" dxfId="3" priority="4" operator="between">
      <formula>31</formula>
      <formula>60</formula>
    </cfRule>
  </conditionalFormatting>
  <conditionalFormatting sqref="R2:R124">
    <cfRule type="cellIs" dxfId="4" priority="5" operator="between">
      <formula>11</formula>
      <formula>30</formula>
    </cfRule>
  </conditionalFormatting>
  <conditionalFormatting sqref="R2:R124">
    <cfRule type="cellIs" dxfId="5" priority="6" operator="between">
      <formula>0</formula>
      <formula>10</formula>
    </cfRule>
  </conditionalFormatting>
  <conditionalFormatting sqref="R2:R124">
    <cfRule type="cellIs" dxfId="6" priority="7" operator="lessThanOrEqual">
      <formula>-1</formula>
    </cfRule>
  </conditionalFormatting>
  <conditionalFormatting sqref="R2:R124">
    <cfRule type="containsText" dxfId="6" priority="8" operator="containsText" text="ENCERRADO">
      <formula>NOT(ISERROR(SEARCH(("ENCERRADO"),(R2))))</formula>
    </cfRule>
  </conditionalFormatting>
  <dataValidations>
    <dataValidation type="list" allowBlank="1" showErrorMessage="1" sqref="Q2:Q124">
      <formula1>"SERVIÇO,SERVIÇO COM MÃO DE OBRA,EQUIPAMENTO"</formula1>
    </dataValidation>
    <dataValidation type="list" allowBlank="1" showErrorMessage="1" sqref="V2:V124">
      <formula1>"Eduardo Periquito (CONTRATOS),Joás Aquino (CONTRATOS),Ramon Araújo (CONTRATOS),Marília Freitas (SERVTRANS),Raphael Feitosa,- - - - -"</formula1>
    </dataValidation>
    <dataValidation type="list" allowBlank="1" showErrorMessage="1" sqref="T2:T124">
      <formula1>"Eduardo Periquito (CONTRATOS),Joás Aquino (CONTRATOS),Marília Freitas (SERVTRANS),Ramon Araújo (CONTRATOS)S,Raphael Feitosa,- - - - -,Dayse Matos,Alberto dos Santos Júnior (DTIC),Alexandre Magno (PROPEGI),André César Wanderley Gomes  (DTIC),Arthur George "&amp;"(PRODEP),Carlos André (EDUPE),Clara Tobias (DTIC),Cláudia Alves de Sena (PROGRAD),Cláudia Henriques (NBID),Ernani Martins dos Santos (PROGRAD),Gevson Andrade (MATA NORTE),Haroldo José da Costa (DTIC),Igor Lapsky da Costa Francisco (CONFÚCIO),Ivan Silva Ol"&amp;"iveira (PROCAPE),José Luiz Vieira da Cruz (ENGENHARIA),Ligia Maria Souza Barros de Oliveira (ENGENHARIA),Maria Soares Albuquerque (PROCAPE),Márcia Lima Crócia de Barros (HUOC),Mirele Moutinho Lima (CARUARU),Patrícia Lopes (PROADMI),Patrícia Nery (PRODEP),"&amp;"Shirley Cabus (CPL),Rodrigo Gomes de Souza (DTIC),Robson Góes de Carvalho (CARUARU),ARP UPE (CPL - COMPRAS),Júlio Brando Messias,Eliane Dourado de Barros Lima (POLI)"</formula1>
    </dataValidation>
    <dataValidation type="list" allowBlank="1" sqref="P2:P124">
      <formula1>"EM EXECUÇÃO,ENCERRADO"</formula1>
    </dataValidation>
    <dataValidation type="list" allowBlank="1" showErrorMessage="1" sqref="U2:U124">
      <formula1>"Érica Joéllen (SERVTRANS)),Marília Freitas (SERVTRANS),Maria do Carmo (Protocolo),- - - - -,Alexandre Wanderley (FOP),Arthur George (PRODEP),Cláudia Cristina (NBID),Edlene Nascimento (CMN),Gevson Andrade (CMN),Luís Arturo (IIT),Igor (CONFÚCIO),Márcia Mora"&amp;"is (GABINETE),Priscila Sanara (GABINETE),Roberto Lima (Manut. Predial),Robson Carvalho (CARUARU),Sabine Raquel (PROJUR),Wilton Azevedo (CMS),Ana Cláudia Lima (PRODEP),Márcia Macedo (IIT),Ivan Silva Oliveira (PROCAPE),Maria Soares Albuquerque (PROCAPE),Pau"&amp;"la Izabel Bezerra Rocha Wanderley,José Jerônimo - DTIC,Patrícia Nery (PRODEP),Luciane Farias de Araújo (Profa. FOP),Cláudia Alves de Sena - PROGRAD,Ivo Luiz de Paula Ribeiro - DTIC,Franklin Andrade de Aguiar Vasconcelos - ENGENHARIA,Patrícia Lopes (COORD."&amp;" ADM),William Mignac Larré (PROCAPE),Mônica Maria de Arruda Cavalcanti,Felipe Ramos da Paixão (EDUPE),Silvia Maria da Costa Porto Menela - ENG,Daniel Alves de Oliveira Filho (CARUARU),Roselene Rocha (PROGRAD),ARP UPE (CPL - COMPRAS),Betty Rose de Araújo L"&amp;"uz,PATRIMÔNIO POLI,Hely Cabral Pires Filho (ENG - HUOC),Natália Alexandre de Holanda Cavalcanti (ENG),Elenilton Marques de Araújo (ENGENHARIA),Fabia Kamilly Gomes de Andrade (ENG - POLI)"</formula1>
    </dataValidation>
    <dataValidation type="list" allowBlank="1" showErrorMessage="1" sqref="S2:S124">
      <formula1>"120 DIAS,90 DIAS,60 DIAS,30 DIAS,&lt; 10 DIAS,ENCERRADO,PRORROGADO,SEM ANUÊNCIA DA EMPRESA"</formula1>
    </dataValidation>
    <dataValidation type="list" allowBlank="1" showErrorMessage="1" sqref="AE2:AE124">
      <formula1>"ENVIADO À DOF,PENDENTE DE ATESTO,PENDENTE DE DOCUMENTAÇÃO,LIQUIDADO EM PAGAMENTO ÚNICO,ENCERRADO"</formula1>
    </dataValidation>
    <dataValidation type="list" allowBlank="1" showErrorMessage="1" sqref="W2:W124">
      <formula1>"14133/21,8666/93"</formula1>
    </dataValidation>
  </dataValidations>
  <hyperlinks>
    <hyperlink r:id="rId1" ref="C38"/>
  </hyperlinks>
  <printOptions horizontalCentered="1"/>
  <pageMargins bottom="0.19685039370078738" footer="0.0" header="0.0" left="0.19685039370078738" right="0.19685039370078738" top="0.19685039370078738"/>
  <pageSetup fitToHeight="0" paperSize="9"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2022-03-24T19:30:59Z</dcterms:created>
  <dc:creator>Luiz Geraldo Siqueira</dc:creator>
</cp:coreProperties>
</file>